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igecarleton/Desktop/"/>
    </mc:Choice>
  </mc:AlternateContent>
  <xr:revisionPtr revIDLastSave="0" documentId="13_ncr:1_{60C3D0C4-B92E-DC4D-8949-5EEE8EF46B1F}" xr6:coauthVersionLast="47" xr6:coauthVersionMax="47" xr10:uidLastSave="{00000000-0000-0000-0000-000000000000}"/>
  <bookViews>
    <workbookView xWindow="0" yWindow="720" windowWidth="29400" windowHeight="18400" xr2:uid="{4C1222F7-7A2E-A148-BBAA-FE4459D9A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1" i="1" l="1"/>
  <c r="AU61" i="1"/>
  <c r="AS61" i="1"/>
  <c r="AQ61" i="1"/>
  <c r="AO61" i="1"/>
  <c r="AM61" i="1"/>
  <c r="AK61" i="1"/>
  <c r="P61" i="1"/>
  <c r="N61" i="1"/>
  <c r="L61" i="1"/>
  <c r="AW60" i="1"/>
  <c r="AU60" i="1"/>
  <c r="AS60" i="1"/>
  <c r="AK60" i="1"/>
  <c r="AQ60" i="1"/>
  <c r="AO60" i="1"/>
  <c r="AM60" i="1"/>
  <c r="P60" i="1"/>
  <c r="N60" i="1"/>
  <c r="L60" i="1"/>
  <c r="AW59" i="1"/>
  <c r="AU59" i="1"/>
  <c r="AS59" i="1"/>
  <c r="AQ59" i="1"/>
  <c r="AO59" i="1"/>
  <c r="AM59" i="1"/>
  <c r="AK59" i="1"/>
  <c r="P59" i="1"/>
  <c r="N59" i="1"/>
  <c r="L59" i="1"/>
  <c r="AW58" i="1"/>
  <c r="AU58" i="1"/>
  <c r="AS58" i="1"/>
  <c r="AQ58" i="1"/>
  <c r="AO58" i="1"/>
  <c r="AM58" i="1"/>
  <c r="AK58" i="1"/>
  <c r="P58" i="1"/>
  <c r="N58" i="1"/>
  <c r="L58" i="1"/>
  <c r="AW57" i="1"/>
  <c r="AU57" i="1"/>
  <c r="AS57" i="1"/>
  <c r="AQ57" i="1"/>
  <c r="AO57" i="1"/>
  <c r="AM57" i="1"/>
  <c r="AK57" i="1"/>
  <c r="P57" i="1"/>
  <c r="N57" i="1"/>
  <c r="L57" i="1"/>
  <c r="AW56" i="1"/>
  <c r="AU56" i="1"/>
  <c r="AS56" i="1"/>
  <c r="AQ56" i="1"/>
  <c r="AO56" i="1"/>
  <c r="AM56" i="1"/>
  <c r="AK56" i="1"/>
  <c r="P56" i="1"/>
  <c r="N56" i="1"/>
  <c r="L56" i="1"/>
  <c r="AW55" i="1"/>
  <c r="AU55" i="1"/>
  <c r="AS55" i="1"/>
  <c r="AQ55" i="1"/>
  <c r="AO55" i="1"/>
  <c r="AM55" i="1"/>
  <c r="AK55" i="1"/>
  <c r="P55" i="1"/>
  <c r="N55" i="1"/>
  <c r="L55" i="1"/>
  <c r="AW54" i="1"/>
  <c r="AU54" i="1"/>
  <c r="AS54" i="1"/>
  <c r="AQ54" i="1"/>
  <c r="AO54" i="1"/>
  <c r="AM54" i="1"/>
  <c r="AK54" i="1"/>
  <c r="P54" i="1"/>
  <c r="N54" i="1"/>
  <c r="L54" i="1"/>
  <c r="AW53" i="1"/>
  <c r="AU53" i="1"/>
  <c r="AS53" i="1"/>
  <c r="AQ53" i="1"/>
  <c r="AO53" i="1"/>
  <c r="AM53" i="1"/>
  <c r="AK53" i="1"/>
  <c r="P53" i="1"/>
  <c r="N53" i="1"/>
  <c r="L53" i="1"/>
  <c r="AW52" i="1"/>
  <c r="AU52" i="1"/>
  <c r="AS52" i="1"/>
  <c r="AQ52" i="1"/>
  <c r="AO52" i="1"/>
  <c r="AM52" i="1"/>
  <c r="AK52" i="1"/>
  <c r="P52" i="1"/>
  <c r="N52" i="1"/>
  <c r="L52" i="1"/>
  <c r="AW51" i="1"/>
  <c r="AU51" i="1"/>
  <c r="AS51" i="1"/>
  <c r="AQ51" i="1"/>
  <c r="AO51" i="1"/>
  <c r="AM51" i="1"/>
  <c r="AK51" i="1"/>
  <c r="P51" i="1"/>
  <c r="N51" i="1"/>
  <c r="L51" i="1"/>
  <c r="AW50" i="1"/>
  <c r="AU50" i="1"/>
  <c r="AS50" i="1"/>
  <c r="AQ50" i="1"/>
  <c r="AO50" i="1"/>
  <c r="AM50" i="1"/>
  <c r="AK50" i="1"/>
  <c r="P50" i="1"/>
  <c r="N50" i="1"/>
  <c r="L50" i="1"/>
  <c r="AW49" i="1"/>
  <c r="AU49" i="1"/>
  <c r="AS49" i="1"/>
  <c r="AQ49" i="1"/>
  <c r="AO49" i="1"/>
  <c r="AM49" i="1"/>
  <c r="AK49" i="1"/>
  <c r="P49" i="1"/>
  <c r="N49" i="1"/>
  <c r="L49" i="1"/>
  <c r="AW48" i="1"/>
  <c r="AU48" i="1"/>
  <c r="AS48" i="1"/>
  <c r="AQ48" i="1"/>
  <c r="AO48" i="1"/>
  <c r="AM48" i="1"/>
  <c r="AK48" i="1"/>
  <c r="P48" i="1"/>
  <c r="N48" i="1"/>
  <c r="L48" i="1"/>
  <c r="AW47" i="1"/>
  <c r="AU47" i="1"/>
  <c r="AS47" i="1"/>
  <c r="AQ47" i="1"/>
  <c r="AK47" i="1"/>
  <c r="P47" i="1"/>
  <c r="AO47" i="1"/>
  <c r="AM47" i="1"/>
  <c r="N47" i="1"/>
  <c r="L47" i="1"/>
  <c r="AW46" i="1"/>
  <c r="AU46" i="1"/>
  <c r="AS46" i="1"/>
  <c r="AQ46" i="1"/>
  <c r="AO46" i="1"/>
  <c r="AM46" i="1"/>
  <c r="AK46" i="1"/>
  <c r="P46" i="1"/>
  <c r="N46" i="1"/>
  <c r="L46" i="1"/>
  <c r="AW45" i="1"/>
  <c r="AU45" i="1"/>
  <c r="AS45" i="1"/>
  <c r="AQ45" i="1"/>
  <c r="AO45" i="1"/>
  <c r="AM45" i="1"/>
  <c r="AK45" i="1"/>
  <c r="P45" i="1"/>
  <c r="N45" i="1"/>
  <c r="L45" i="1"/>
  <c r="AW44" i="1"/>
  <c r="AU44" i="1"/>
  <c r="AS44" i="1"/>
  <c r="AQ44" i="1"/>
  <c r="AO44" i="1"/>
  <c r="AM44" i="1"/>
  <c r="AK44" i="1"/>
  <c r="P44" i="1"/>
  <c r="N44" i="1"/>
  <c r="L44" i="1"/>
  <c r="AW43" i="1"/>
  <c r="AU43" i="1"/>
  <c r="AS43" i="1"/>
  <c r="AQ43" i="1"/>
  <c r="AO43" i="1"/>
  <c r="AM43" i="1"/>
  <c r="AK43" i="1"/>
  <c r="P43" i="1"/>
  <c r="N43" i="1"/>
  <c r="L43" i="1"/>
  <c r="AW42" i="1"/>
  <c r="AU42" i="1"/>
  <c r="AS42" i="1"/>
  <c r="AQ42" i="1"/>
  <c r="AO42" i="1"/>
  <c r="AM42" i="1"/>
  <c r="AK42" i="1"/>
  <c r="P42" i="1"/>
  <c r="N42" i="1"/>
  <c r="L42" i="1"/>
  <c r="AW41" i="1"/>
  <c r="AU41" i="1"/>
  <c r="AS41" i="1"/>
  <c r="AQ41" i="1"/>
  <c r="AO41" i="1"/>
  <c r="AM41" i="1"/>
  <c r="AK41" i="1"/>
  <c r="P41" i="1"/>
  <c r="N41" i="1"/>
  <c r="L41" i="1"/>
  <c r="AW40" i="1"/>
  <c r="AU40" i="1"/>
  <c r="AS40" i="1"/>
  <c r="AQ40" i="1"/>
  <c r="AO40" i="1"/>
  <c r="AM40" i="1"/>
  <c r="AK40" i="1"/>
  <c r="P40" i="1"/>
  <c r="N40" i="1"/>
  <c r="L40" i="1"/>
  <c r="AW39" i="1"/>
  <c r="AU39" i="1"/>
  <c r="AS39" i="1"/>
  <c r="AQ39" i="1"/>
  <c r="AO39" i="1"/>
  <c r="AM39" i="1"/>
  <c r="AK39" i="1"/>
  <c r="P39" i="1"/>
  <c r="N39" i="1"/>
  <c r="L39" i="1"/>
  <c r="AW38" i="1"/>
  <c r="AU38" i="1"/>
  <c r="AS38" i="1"/>
  <c r="AQ38" i="1"/>
  <c r="AO38" i="1"/>
  <c r="AM38" i="1"/>
  <c r="AK38" i="1"/>
  <c r="P38" i="1"/>
  <c r="N38" i="1"/>
  <c r="L38" i="1"/>
  <c r="AW37" i="1"/>
  <c r="AU37" i="1"/>
  <c r="AS37" i="1"/>
  <c r="AQ37" i="1"/>
  <c r="AO37" i="1"/>
  <c r="AM37" i="1"/>
  <c r="AK37" i="1"/>
  <c r="P37" i="1"/>
  <c r="N37" i="1"/>
  <c r="L37" i="1"/>
  <c r="AW36" i="1"/>
  <c r="AU36" i="1"/>
  <c r="AS36" i="1"/>
  <c r="AQ36" i="1"/>
  <c r="AO36" i="1"/>
  <c r="AM36" i="1"/>
  <c r="AK36" i="1"/>
  <c r="P36" i="1"/>
  <c r="N36" i="1"/>
  <c r="L36" i="1"/>
  <c r="AW35" i="1"/>
  <c r="AU35" i="1"/>
  <c r="AS35" i="1"/>
  <c r="AQ35" i="1"/>
  <c r="AO35" i="1"/>
  <c r="AM35" i="1"/>
  <c r="AK35" i="1"/>
  <c r="P35" i="1"/>
  <c r="N35" i="1"/>
  <c r="L35" i="1"/>
  <c r="AW34" i="1"/>
  <c r="AU34" i="1"/>
  <c r="AS34" i="1"/>
  <c r="AQ34" i="1"/>
  <c r="AO34" i="1"/>
  <c r="AM34" i="1"/>
  <c r="AK34" i="1"/>
  <c r="P34" i="1"/>
  <c r="N34" i="1"/>
  <c r="L34" i="1"/>
  <c r="AW33" i="1"/>
  <c r="AU33" i="1"/>
  <c r="AS33" i="1"/>
  <c r="AQ33" i="1"/>
  <c r="AO33" i="1"/>
  <c r="AM33" i="1"/>
  <c r="AK33" i="1"/>
  <c r="P33" i="1"/>
  <c r="N33" i="1"/>
  <c r="L33" i="1"/>
  <c r="AW32" i="1"/>
  <c r="AU32" i="1"/>
  <c r="AS32" i="1"/>
  <c r="AQ32" i="1"/>
  <c r="AO32" i="1"/>
  <c r="AM32" i="1"/>
  <c r="AK32" i="1"/>
  <c r="P32" i="1"/>
  <c r="N32" i="1"/>
  <c r="L32" i="1"/>
  <c r="AW31" i="1"/>
  <c r="AU31" i="1"/>
  <c r="AS31" i="1"/>
  <c r="AQ31" i="1"/>
  <c r="AO31" i="1"/>
  <c r="AM31" i="1"/>
  <c r="AK31" i="1"/>
  <c r="P31" i="1"/>
  <c r="N31" i="1"/>
  <c r="L31" i="1"/>
  <c r="AW30" i="1"/>
  <c r="AU30" i="1"/>
  <c r="AS30" i="1"/>
  <c r="AQ30" i="1"/>
  <c r="AO30" i="1"/>
  <c r="AM30" i="1"/>
  <c r="AK30" i="1"/>
  <c r="P30" i="1"/>
  <c r="N30" i="1"/>
  <c r="L30" i="1"/>
  <c r="AW29" i="1"/>
  <c r="AU29" i="1"/>
  <c r="AS29" i="1"/>
  <c r="AQ29" i="1"/>
  <c r="AO29" i="1"/>
  <c r="AM29" i="1"/>
  <c r="AK29" i="1"/>
  <c r="P29" i="1"/>
  <c r="N29" i="1"/>
  <c r="L29" i="1"/>
  <c r="AW28" i="1"/>
  <c r="AU28" i="1"/>
  <c r="AS28" i="1"/>
  <c r="AQ28" i="1"/>
  <c r="AO28" i="1"/>
  <c r="AM28" i="1"/>
  <c r="AK28" i="1"/>
  <c r="P28" i="1"/>
  <c r="N28" i="1"/>
  <c r="L28" i="1"/>
  <c r="AW27" i="1"/>
  <c r="AU27" i="1"/>
  <c r="AS27" i="1"/>
  <c r="AQ27" i="1"/>
  <c r="AO27" i="1"/>
  <c r="AM27" i="1"/>
  <c r="AK27" i="1"/>
  <c r="P27" i="1"/>
  <c r="N27" i="1"/>
  <c r="L27" i="1"/>
  <c r="AW26" i="1"/>
  <c r="AU26" i="1"/>
  <c r="AS26" i="1"/>
  <c r="AQ26" i="1"/>
  <c r="AO26" i="1"/>
  <c r="AM26" i="1"/>
  <c r="AK26" i="1"/>
  <c r="P26" i="1"/>
  <c r="N26" i="1"/>
  <c r="L26" i="1"/>
  <c r="AW25" i="1"/>
  <c r="AU25" i="1"/>
  <c r="AS25" i="1"/>
  <c r="AQ25" i="1"/>
  <c r="AO25" i="1"/>
  <c r="AM25" i="1"/>
  <c r="AK25" i="1"/>
  <c r="P25" i="1"/>
  <c r="N25" i="1"/>
  <c r="L25" i="1"/>
  <c r="AW24" i="1"/>
  <c r="AU24" i="1"/>
  <c r="AS24" i="1"/>
  <c r="AQ24" i="1"/>
  <c r="AO24" i="1"/>
  <c r="AM24" i="1"/>
  <c r="AK24" i="1"/>
  <c r="P24" i="1"/>
  <c r="N24" i="1"/>
  <c r="L24" i="1"/>
  <c r="AW23" i="1"/>
  <c r="AU23" i="1"/>
  <c r="AS23" i="1"/>
  <c r="AQ23" i="1"/>
  <c r="AO23" i="1"/>
  <c r="AM23" i="1"/>
  <c r="AK23" i="1"/>
  <c r="P23" i="1"/>
  <c r="N23" i="1"/>
  <c r="L23" i="1"/>
  <c r="AW22" i="1"/>
  <c r="AQ22" i="1"/>
  <c r="AU22" i="1"/>
  <c r="AS22" i="1"/>
  <c r="AO22" i="1"/>
  <c r="AM22" i="1"/>
  <c r="AK22" i="1"/>
  <c r="P22" i="1"/>
  <c r="N22" i="1"/>
  <c r="L22" i="1"/>
  <c r="AW5" i="1"/>
  <c r="AU5" i="1"/>
  <c r="AS5" i="1"/>
  <c r="AK5" i="1"/>
  <c r="P5" i="1"/>
  <c r="N5" i="1"/>
  <c r="L5" i="1"/>
  <c r="AK2" i="1"/>
  <c r="AW21" i="1"/>
  <c r="AU21" i="1"/>
  <c r="AS21" i="1"/>
  <c r="AK21" i="1"/>
  <c r="N21" i="1"/>
  <c r="L21" i="1"/>
  <c r="AQ21" i="1"/>
  <c r="AO21" i="1"/>
  <c r="AM21" i="1"/>
  <c r="P21" i="1"/>
  <c r="AW20" i="1"/>
  <c r="AU20" i="1"/>
  <c r="AS20" i="1"/>
  <c r="AQ20" i="1"/>
  <c r="AO20" i="1"/>
  <c r="AM20" i="1"/>
  <c r="AK20" i="1"/>
  <c r="P20" i="1"/>
  <c r="N20" i="1"/>
  <c r="L20" i="1"/>
  <c r="AW19" i="1"/>
  <c r="AU19" i="1"/>
  <c r="AS19" i="1"/>
  <c r="AQ19" i="1"/>
  <c r="AO19" i="1"/>
  <c r="AM19" i="1"/>
  <c r="AK19" i="1"/>
  <c r="P19" i="1"/>
  <c r="N19" i="1"/>
  <c r="AW18" i="1"/>
  <c r="AU18" i="1"/>
  <c r="AS18" i="1"/>
  <c r="AQ18" i="1"/>
  <c r="AO18" i="1"/>
  <c r="AM18" i="1"/>
  <c r="AK18" i="1"/>
  <c r="P18" i="1"/>
  <c r="N18" i="1"/>
  <c r="L18" i="1"/>
  <c r="L19" i="1"/>
  <c r="AW17" i="1"/>
  <c r="AU17" i="1"/>
  <c r="AS17" i="1"/>
  <c r="AQ17" i="1"/>
  <c r="AO17" i="1"/>
  <c r="AM17" i="1"/>
  <c r="AK17" i="1"/>
  <c r="P17" i="1"/>
  <c r="N17" i="1"/>
  <c r="L17" i="1"/>
  <c r="AW16" i="1"/>
  <c r="AU16" i="1"/>
  <c r="AS16" i="1"/>
  <c r="AQ16" i="1"/>
  <c r="AO16" i="1"/>
  <c r="AM16" i="1"/>
  <c r="AK16" i="1"/>
  <c r="P16" i="1"/>
  <c r="N16" i="1"/>
  <c r="L16" i="1"/>
  <c r="AW15" i="1"/>
  <c r="AU15" i="1"/>
  <c r="AS15" i="1"/>
  <c r="AQ15" i="1"/>
  <c r="AO15" i="1"/>
  <c r="AM15" i="1"/>
  <c r="P15" i="1"/>
  <c r="N15" i="1"/>
  <c r="L15" i="1"/>
  <c r="AW14" i="1"/>
  <c r="AU14" i="1"/>
  <c r="AS14" i="1"/>
  <c r="AQ14" i="1"/>
  <c r="AO14" i="1"/>
  <c r="AM14" i="1"/>
  <c r="AK14" i="1"/>
  <c r="P14" i="1"/>
  <c r="N14" i="1"/>
  <c r="L14" i="1"/>
  <c r="AW13" i="1"/>
  <c r="AU13" i="1"/>
  <c r="AS13" i="1"/>
  <c r="AQ13" i="1"/>
  <c r="AO13" i="1"/>
  <c r="AM13" i="1"/>
  <c r="AK13" i="1"/>
  <c r="P13" i="1"/>
  <c r="N13" i="1"/>
  <c r="L13" i="1"/>
  <c r="AW12" i="1"/>
  <c r="AU12" i="1"/>
  <c r="AS12" i="1"/>
  <c r="AQ12" i="1"/>
  <c r="AO12" i="1"/>
  <c r="AM12" i="1"/>
  <c r="AK12" i="1"/>
  <c r="P12" i="1"/>
  <c r="N12" i="1"/>
  <c r="L12" i="1"/>
  <c r="AW11" i="1"/>
  <c r="AU11" i="1"/>
  <c r="AS11" i="1"/>
  <c r="AQ11" i="1"/>
  <c r="AO11" i="1"/>
  <c r="AM11" i="1"/>
  <c r="AK11" i="1"/>
  <c r="P11" i="1"/>
  <c r="N11" i="1"/>
  <c r="L11" i="1"/>
  <c r="AW10" i="1"/>
  <c r="AU10" i="1"/>
  <c r="AS10" i="1"/>
  <c r="AQ10" i="1"/>
  <c r="AO10" i="1"/>
  <c r="AM10" i="1"/>
  <c r="AK10" i="1"/>
  <c r="P10" i="1"/>
  <c r="N10" i="1"/>
  <c r="L10" i="1"/>
  <c r="AW9" i="1"/>
  <c r="AU9" i="1"/>
  <c r="AS9" i="1"/>
  <c r="AQ9" i="1"/>
  <c r="AO9" i="1"/>
  <c r="AM9" i="1"/>
  <c r="AK9" i="1"/>
  <c r="P9" i="1"/>
  <c r="N9" i="1"/>
  <c r="L9" i="1"/>
  <c r="AW8" i="1"/>
  <c r="AU8" i="1"/>
  <c r="AS8" i="1"/>
  <c r="AQ8" i="1"/>
  <c r="AM8" i="1"/>
  <c r="AO8" i="1"/>
  <c r="AK8" i="1"/>
  <c r="P8" i="1"/>
  <c r="N8" i="1"/>
  <c r="L8" i="1"/>
  <c r="AW7" i="1"/>
  <c r="AU7" i="1"/>
  <c r="AS7" i="1"/>
  <c r="AQ7" i="1"/>
  <c r="AO7" i="1"/>
  <c r="AM7" i="1"/>
  <c r="AK7" i="1"/>
  <c r="P7" i="1"/>
  <c r="N7" i="1"/>
  <c r="L7" i="1"/>
  <c r="AW6" i="1"/>
  <c r="AU6" i="1"/>
  <c r="AS6" i="1"/>
  <c r="AQ6" i="1"/>
  <c r="AO6" i="1"/>
  <c r="AM6" i="1"/>
  <c r="AK6" i="1"/>
  <c r="P6" i="1"/>
  <c r="N6" i="1"/>
  <c r="L6" i="1"/>
  <c r="AQ5" i="1"/>
  <c r="AO5" i="1"/>
  <c r="AM5" i="1"/>
  <c r="AW4" i="1"/>
  <c r="AU4" i="1"/>
  <c r="AS4" i="1"/>
  <c r="AQ4" i="1"/>
  <c r="AO4" i="1"/>
  <c r="AM4" i="1"/>
  <c r="AK4" i="1"/>
  <c r="AW3" i="1"/>
  <c r="AU3" i="1"/>
  <c r="AS3" i="1"/>
  <c r="AW2" i="1"/>
  <c r="AU2" i="1"/>
  <c r="AS2" i="1"/>
</calcChain>
</file>

<file path=xl/sharedStrings.xml><?xml version="1.0" encoding="utf-8"?>
<sst xmlns="http://schemas.openxmlformats.org/spreadsheetml/2006/main" count="26" uniqueCount="26">
  <si>
    <t xml:space="preserve">year </t>
  </si>
  <si>
    <t xml:space="preserve">pro_appelant </t>
  </si>
  <si>
    <t>financial_quat</t>
  </si>
  <si>
    <t>anti_appelant</t>
  </si>
  <si>
    <t>percentage_pro</t>
  </si>
  <si>
    <t>percetage_anti</t>
  </si>
  <si>
    <t>The_Times_total</t>
  </si>
  <si>
    <t>FT_total</t>
  </si>
  <si>
    <t>The_Guardian_total</t>
  </si>
  <si>
    <t>Positive_Times</t>
  </si>
  <si>
    <t>Negative_Times</t>
  </si>
  <si>
    <t>Neutral_Times</t>
  </si>
  <si>
    <t>Positive_FT</t>
  </si>
  <si>
    <t>Negative_FT</t>
  </si>
  <si>
    <t>Neutral_FT</t>
  </si>
  <si>
    <t>Positive_Guardian</t>
  </si>
  <si>
    <t>Negative_Guardian</t>
  </si>
  <si>
    <t>Neutral_Guardian</t>
  </si>
  <si>
    <t>Total_articles</t>
  </si>
  <si>
    <t>total_negative</t>
  </si>
  <si>
    <t>total_positive</t>
  </si>
  <si>
    <t xml:space="preserve">total_neutral </t>
  </si>
  <si>
    <t>percent_negative</t>
  </si>
  <si>
    <t>percent_positive</t>
  </si>
  <si>
    <t>percent_neutral</t>
  </si>
  <si>
    <t>Election_Year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</si>
</sst>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1DF9-AF81-0547-B041-5AFC824C5460}">
  <dimension ref="A1:AY61"/>
  <sheetViews>
    <sheetView tabSelected="1" zoomScale="88" workbookViewId="0">
      <selection activeCell="AY62" sqref="AY62"/>
    </sheetView>
  </sheetViews>
  <sheetFormatPr baseColWidth="10" defaultRowHeight="16" x14ac:dyDescent="0.2"/>
  <sheetData>
    <row r="1" spans="1:51" ht="14" customHeight="1" x14ac:dyDescent="0.2">
      <c r="A1" t="s">
        <v>0</v>
      </c>
      <c r="B1" t="s">
        <v>2</v>
      </c>
      <c r="D1" t="s">
        <v>1</v>
      </c>
      <c r="F1" t="s">
        <v>3</v>
      </c>
      <c r="H1" s="1" t="s">
        <v>4</v>
      </c>
      <c r="J1" t="s">
        <v>5</v>
      </c>
      <c r="L1" t="s">
        <v>6</v>
      </c>
      <c r="N1" t="s">
        <v>7</v>
      </c>
      <c r="P1" t="s">
        <v>8</v>
      </c>
      <c r="S1" t="s">
        <v>9</v>
      </c>
      <c r="U1" t="s">
        <v>10</v>
      </c>
      <c r="W1" t="s">
        <v>11</v>
      </c>
      <c r="Y1" t="s">
        <v>12</v>
      </c>
      <c r="AA1" t="s">
        <v>13</v>
      </c>
      <c r="AC1" t="s">
        <v>14</v>
      </c>
      <c r="AE1" t="s">
        <v>15</v>
      </c>
      <c r="AG1" t="s">
        <v>16</v>
      </c>
      <c r="AI1" t="s">
        <v>17</v>
      </c>
      <c r="AK1" t="s">
        <v>18</v>
      </c>
      <c r="AM1" t="s">
        <v>19</v>
      </c>
      <c r="AO1" t="s">
        <v>20</v>
      </c>
      <c r="AQ1" t="s">
        <v>21</v>
      </c>
      <c r="AS1" t="s">
        <v>22</v>
      </c>
      <c r="AU1" t="s">
        <v>23</v>
      </c>
      <c r="AW1" t="s">
        <v>24</v>
      </c>
      <c r="AY1" t="s">
        <v>25</v>
      </c>
    </row>
    <row r="2" spans="1:51" x14ac:dyDescent="0.2">
      <c r="A2">
        <v>2009</v>
      </c>
      <c r="B2">
        <v>1</v>
      </c>
      <c r="D2" s="1">
        <v>19170</v>
      </c>
      <c r="F2" s="1">
        <v>27813</v>
      </c>
      <c r="H2" s="1">
        <v>40</v>
      </c>
      <c r="I2" s="1"/>
      <c r="J2" s="1">
        <v>59</v>
      </c>
      <c r="L2">
        <v>42</v>
      </c>
      <c r="N2">
        <v>41</v>
      </c>
      <c r="P2">
        <v>46</v>
      </c>
      <c r="S2">
        <v>15</v>
      </c>
      <c r="U2">
        <v>11</v>
      </c>
      <c r="W2">
        <v>16</v>
      </c>
      <c r="Y2">
        <v>6</v>
      </c>
      <c r="AA2">
        <v>1</v>
      </c>
      <c r="AC2">
        <v>34</v>
      </c>
      <c r="AE2">
        <v>15</v>
      </c>
      <c r="AG2">
        <v>5</v>
      </c>
      <c r="AI2">
        <v>26</v>
      </c>
      <c r="AK2">
        <f>42+41+46</f>
        <v>129</v>
      </c>
      <c r="AM2">
        <v>17</v>
      </c>
      <c r="AO2">
        <v>36</v>
      </c>
      <c r="AQ2">
        <v>76</v>
      </c>
      <c r="AS2">
        <f>17/129*100</f>
        <v>13.178294573643413</v>
      </c>
      <c r="AU2">
        <f>36/129*100</f>
        <v>27.906976744186046</v>
      </c>
      <c r="AW2">
        <f>76/129*100</f>
        <v>58.914728682170548</v>
      </c>
      <c r="AY2">
        <v>0</v>
      </c>
    </row>
    <row r="3" spans="1:51" x14ac:dyDescent="0.2">
      <c r="A3">
        <v>2009</v>
      </c>
      <c r="B3">
        <v>2</v>
      </c>
      <c r="D3" s="1">
        <v>17720</v>
      </c>
      <c r="F3" s="1">
        <v>30669</v>
      </c>
      <c r="H3" s="1">
        <v>36</v>
      </c>
      <c r="I3" s="1"/>
      <c r="J3" s="1">
        <v>63</v>
      </c>
      <c r="L3">
        <v>28</v>
      </c>
      <c r="N3">
        <v>23</v>
      </c>
      <c r="P3">
        <v>77</v>
      </c>
      <c r="S3">
        <v>6</v>
      </c>
      <c r="U3">
        <v>6</v>
      </c>
      <c r="W3">
        <v>16</v>
      </c>
      <c r="Y3">
        <v>2</v>
      </c>
      <c r="AA3">
        <v>5</v>
      </c>
      <c r="AC3">
        <v>16</v>
      </c>
      <c r="AE3">
        <v>34</v>
      </c>
      <c r="AG3">
        <v>15</v>
      </c>
      <c r="AI3">
        <v>28</v>
      </c>
      <c r="AK3">
        <v>128</v>
      </c>
      <c r="AM3">
        <v>26</v>
      </c>
      <c r="AO3">
        <v>42</v>
      </c>
      <c r="AQ3">
        <v>60</v>
      </c>
      <c r="AS3">
        <f>26/128*100</f>
        <v>20.3125</v>
      </c>
      <c r="AU3">
        <f>42/128*100</f>
        <v>32.8125</v>
      </c>
      <c r="AW3">
        <f>60/128*100</f>
        <v>46.875</v>
      </c>
      <c r="AY3">
        <v>0</v>
      </c>
    </row>
    <row r="4" spans="1:51" x14ac:dyDescent="0.2">
      <c r="A4">
        <v>2009</v>
      </c>
      <c r="B4">
        <v>3</v>
      </c>
      <c r="D4" s="1">
        <v>19460</v>
      </c>
      <c r="F4" s="1">
        <v>31947</v>
      </c>
      <c r="H4" s="1">
        <v>38</v>
      </c>
      <c r="I4" s="1"/>
      <c r="J4" s="1">
        <v>62</v>
      </c>
      <c r="L4">
        <v>20</v>
      </c>
      <c r="N4">
        <v>31</v>
      </c>
      <c r="P4">
        <v>62</v>
      </c>
      <c r="S4">
        <v>5</v>
      </c>
      <c r="U4">
        <v>4</v>
      </c>
      <c r="W4">
        <v>11</v>
      </c>
      <c r="Y4">
        <v>8</v>
      </c>
      <c r="AA4">
        <v>4</v>
      </c>
      <c r="AC4">
        <v>19</v>
      </c>
      <c r="AE4">
        <v>25</v>
      </c>
      <c r="AG4">
        <v>9</v>
      </c>
      <c r="AI4">
        <v>28</v>
      </c>
      <c r="AK4">
        <f xml:space="preserve"> 20+31+62</f>
        <v>113</v>
      </c>
      <c r="AM4">
        <f xml:space="preserve"> 9+4+4</f>
        <v>17</v>
      </c>
      <c r="AO4">
        <f xml:space="preserve"> 25+8+5</f>
        <v>38</v>
      </c>
      <c r="AQ4">
        <f xml:space="preserve"> 28+19+11</f>
        <v>58</v>
      </c>
      <c r="AS4">
        <f xml:space="preserve"> 17/113*100</f>
        <v>15.044247787610621</v>
      </c>
      <c r="AU4">
        <f>38/113*100</f>
        <v>33.628318584070797</v>
      </c>
      <c r="AW4">
        <f xml:space="preserve"> 58/113*100</f>
        <v>51.327433628318587</v>
      </c>
      <c r="AY4">
        <v>0</v>
      </c>
    </row>
    <row r="5" spans="1:51" x14ac:dyDescent="0.2">
      <c r="A5">
        <v>2009</v>
      </c>
      <c r="B5">
        <v>4</v>
      </c>
      <c r="D5" s="1">
        <v>22409</v>
      </c>
      <c r="F5" s="1">
        <v>36815</v>
      </c>
      <c r="H5" s="1">
        <v>38</v>
      </c>
      <c r="I5" s="1"/>
      <c r="J5" s="1">
        <v>62</v>
      </c>
      <c r="L5">
        <f>16+27+27</f>
        <v>70</v>
      </c>
      <c r="N5">
        <f>13+7+15</f>
        <v>35</v>
      </c>
      <c r="P5">
        <f>31+12+22</f>
        <v>65</v>
      </c>
      <c r="S5">
        <v>16</v>
      </c>
      <c r="U5">
        <v>27</v>
      </c>
      <c r="W5">
        <v>27</v>
      </c>
      <c r="Y5">
        <v>13</v>
      </c>
      <c r="AA5">
        <v>7</v>
      </c>
      <c r="AC5">
        <v>15</v>
      </c>
      <c r="AE5">
        <v>31</v>
      </c>
      <c r="AG5">
        <v>12</v>
      </c>
      <c r="AI5">
        <v>22</v>
      </c>
      <c r="AK5">
        <f xml:space="preserve"> 70+35+65</f>
        <v>170</v>
      </c>
      <c r="AM5">
        <f xml:space="preserve"> 12+7+27</f>
        <v>46</v>
      </c>
      <c r="AO5">
        <f xml:space="preserve"> 31+13+16</f>
        <v>60</v>
      </c>
      <c r="AQ5">
        <f xml:space="preserve"> 22+15+27</f>
        <v>64</v>
      </c>
      <c r="AS5">
        <f xml:space="preserve"> 46/170*100</f>
        <v>27.058823529411764</v>
      </c>
      <c r="AU5">
        <f xml:space="preserve"> 60/170*100</f>
        <v>35.294117647058826</v>
      </c>
      <c r="AW5">
        <f>64/170*100</f>
        <v>37.647058823529413</v>
      </c>
      <c r="AY5">
        <v>1</v>
      </c>
    </row>
    <row r="6" spans="1:51" x14ac:dyDescent="0.2">
      <c r="A6">
        <v>2010</v>
      </c>
      <c r="B6">
        <v>1</v>
      </c>
      <c r="D6" s="1">
        <v>22713</v>
      </c>
      <c r="F6" s="1">
        <v>37287</v>
      </c>
      <c r="H6" s="1">
        <v>37</v>
      </c>
      <c r="I6" s="1"/>
      <c r="J6" s="1">
        <v>62</v>
      </c>
      <c r="L6">
        <f xml:space="preserve"> 13+26+51</f>
        <v>90</v>
      </c>
      <c r="N6">
        <f xml:space="preserve"> 48+10+8</f>
        <v>66</v>
      </c>
      <c r="P6">
        <f xml:space="preserve"> 50+38+79</f>
        <v>167</v>
      </c>
      <c r="S6">
        <v>13</v>
      </c>
      <c r="U6">
        <v>26</v>
      </c>
      <c r="W6">
        <v>51</v>
      </c>
      <c r="Y6">
        <v>8</v>
      </c>
      <c r="AA6">
        <v>10</v>
      </c>
      <c r="AC6">
        <v>48</v>
      </c>
      <c r="AE6">
        <v>50</v>
      </c>
      <c r="AG6">
        <v>38</v>
      </c>
      <c r="AI6">
        <v>79</v>
      </c>
      <c r="AK6">
        <f xml:space="preserve"> 90+66+167</f>
        <v>323</v>
      </c>
      <c r="AM6">
        <f xml:space="preserve"> 38+10+26</f>
        <v>74</v>
      </c>
      <c r="AO6">
        <f xml:space="preserve"> 50+8+13</f>
        <v>71</v>
      </c>
      <c r="AQ6">
        <f>79+48+51</f>
        <v>178</v>
      </c>
      <c r="AS6">
        <f>74/323*100</f>
        <v>22.910216718266255</v>
      </c>
      <c r="AU6">
        <f xml:space="preserve"> 71/323*100</f>
        <v>21.981424148606813</v>
      </c>
      <c r="AW6">
        <f xml:space="preserve"> 178/323*100</f>
        <v>55.108359133126939</v>
      </c>
      <c r="AY6">
        <v>1</v>
      </c>
    </row>
    <row r="7" spans="1:51" x14ac:dyDescent="0.2">
      <c r="A7">
        <v>2010</v>
      </c>
      <c r="B7">
        <v>2</v>
      </c>
      <c r="D7" s="1">
        <v>23176</v>
      </c>
      <c r="F7" s="1">
        <v>43959</v>
      </c>
      <c r="H7" s="1">
        <v>34</v>
      </c>
      <c r="I7" s="1"/>
      <c r="J7" s="1">
        <v>65</v>
      </c>
      <c r="L7">
        <f xml:space="preserve"> 14+28+36</f>
        <v>78</v>
      </c>
      <c r="N7">
        <f xml:space="preserve"> 48+9+5</f>
        <v>62</v>
      </c>
      <c r="P7">
        <f>83 + 41+31</f>
        <v>155</v>
      </c>
      <c r="S7">
        <v>14</v>
      </c>
      <c r="U7">
        <v>28</v>
      </c>
      <c r="W7">
        <v>36</v>
      </c>
      <c r="Y7">
        <v>5</v>
      </c>
      <c r="AA7">
        <v>9</v>
      </c>
      <c r="AC7">
        <v>48</v>
      </c>
      <c r="AE7">
        <v>31</v>
      </c>
      <c r="AG7">
        <v>41</v>
      </c>
      <c r="AI7">
        <v>83</v>
      </c>
      <c r="AK7">
        <f>78+62+155</f>
        <v>295</v>
      </c>
      <c r="AM7">
        <f xml:space="preserve"> 41+9+28</f>
        <v>78</v>
      </c>
      <c r="AO7">
        <f>31+5+14</f>
        <v>50</v>
      </c>
      <c r="AQ7">
        <f>83+48+36</f>
        <v>167</v>
      </c>
      <c r="AS7">
        <f>78/295*100</f>
        <v>26.440677966101696</v>
      </c>
      <c r="AU7">
        <f>50/295*100</f>
        <v>16.949152542372879</v>
      </c>
      <c r="AW7">
        <f>167/295*100</f>
        <v>56.610169491525419</v>
      </c>
      <c r="AY7">
        <v>1</v>
      </c>
    </row>
    <row r="8" spans="1:51" x14ac:dyDescent="0.2">
      <c r="A8">
        <v>2010</v>
      </c>
      <c r="B8">
        <v>3</v>
      </c>
      <c r="D8" s="1">
        <v>22697</v>
      </c>
      <c r="F8" s="1">
        <v>44439</v>
      </c>
      <c r="H8" s="1">
        <v>33</v>
      </c>
      <c r="J8" s="1">
        <v>66</v>
      </c>
      <c r="L8">
        <f>25+35+101</f>
        <v>161</v>
      </c>
      <c r="N8">
        <f xml:space="preserve"> 17+18+70</f>
        <v>105</v>
      </c>
      <c r="P8">
        <f>146+146+46</f>
        <v>338</v>
      </c>
      <c r="S8">
        <v>25</v>
      </c>
      <c r="U8">
        <v>35</v>
      </c>
      <c r="W8">
        <v>101</v>
      </c>
      <c r="Y8">
        <v>16</v>
      </c>
      <c r="AA8">
        <v>18</v>
      </c>
      <c r="AC8">
        <v>70</v>
      </c>
      <c r="AE8">
        <v>146</v>
      </c>
      <c r="AG8">
        <v>46</v>
      </c>
      <c r="AI8">
        <v>146</v>
      </c>
      <c r="AK8">
        <f>161+105+338</f>
        <v>604</v>
      </c>
      <c r="AM8">
        <f>46+18+35</f>
        <v>99</v>
      </c>
      <c r="AO8">
        <f>146+16+25</f>
        <v>187</v>
      </c>
      <c r="AQ8">
        <f>146+70+101</f>
        <v>317</v>
      </c>
      <c r="AS8">
        <f>99/604*100</f>
        <v>16.390728476821192</v>
      </c>
      <c r="AU8">
        <f>187/604*100</f>
        <v>30.960264900662253</v>
      </c>
      <c r="AW8">
        <f>317/604*100</f>
        <v>52.483443708609265</v>
      </c>
      <c r="AY8">
        <v>1</v>
      </c>
    </row>
    <row r="9" spans="1:51" x14ac:dyDescent="0.2">
      <c r="A9">
        <v>2010</v>
      </c>
      <c r="B9">
        <v>4</v>
      </c>
      <c r="D9" s="1">
        <v>27456</v>
      </c>
      <c r="F9" s="1">
        <v>52197</v>
      </c>
      <c r="H9" s="1">
        <v>34</v>
      </c>
      <c r="J9" s="1">
        <v>65</v>
      </c>
      <c r="L9">
        <f>14+9+22</f>
        <v>45</v>
      </c>
      <c r="N9">
        <f>27+7</f>
        <v>34</v>
      </c>
      <c r="P9">
        <f>29+20+83</f>
        <v>132</v>
      </c>
      <c r="S9">
        <v>14</v>
      </c>
      <c r="U9">
        <v>9</v>
      </c>
      <c r="W9">
        <v>22</v>
      </c>
      <c r="Y9">
        <v>6</v>
      </c>
      <c r="AA9">
        <v>1</v>
      </c>
      <c r="AC9">
        <v>27</v>
      </c>
      <c r="AE9">
        <v>29</v>
      </c>
      <c r="AG9">
        <v>20</v>
      </c>
      <c r="AI9">
        <v>83</v>
      </c>
      <c r="AK9">
        <f>45+34+132</f>
        <v>211</v>
      </c>
      <c r="AM9">
        <f>21+9</f>
        <v>30</v>
      </c>
      <c r="AO9">
        <f>29+6+14</f>
        <v>49</v>
      </c>
      <c r="AQ9">
        <f>83+27+22</f>
        <v>132</v>
      </c>
      <c r="AS9">
        <f>30/211*100</f>
        <v>14.218009478672986</v>
      </c>
      <c r="AU9">
        <f>49/211*100</f>
        <v>23.222748815165879</v>
      </c>
      <c r="AW9">
        <f>132/211*100</f>
        <v>62.559241706161139</v>
      </c>
      <c r="AY9">
        <v>0</v>
      </c>
    </row>
    <row r="10" spans="1:51" x14ac:dyDescent="0.2">
      <c r="A10">
        <v>2011</v>
      </c>
      <c r="B10">
        <v>1</v>
      </c>
      <c r="D10" s="1">
        <v>28904</v>
      </c>
      <c r="F10" s="1">
        <v>52983</v>
      </c>
      <c r="H10" s="1">
        <v>35</v>
      </c>
      <c r="J10" s="1">
        <v>64</v>
      </c>
      <c r="L10">
        <f>25+9+1</f>
        <v>35</v>
      </c>
      <c r="N10">
        <f>27+4+3</f>
        <v>34</v>
      </c>
      <c r="P10">
        <f>49+12+70</f>
        <v>131</v>
      </c>
      <c r="S10">
        <v>1</v>
      </c>
      <c r="U10">
        <v>9</v>
      </c>
      <c r="W10">
        <v>25</v>
      </c>
      <c r="Y10">
        <v>4</v>
      </c>
      <c r="AA10">
        <v>3</v>
      </c>
      <c r="AC10">
        <v>27</v>
      </c>
      <c r="AE10">
        <v>49</v>
      </c>
      <c r="AG10">
        <v>12</v>
      </c>
      <c r="AI10">
        <v>70</v>
      </c>
      <c r="AK10">
        <f>131+34+35</f>
        <v>200</v>
      </c>
      <c r="AM10">
        <f>12+3+9</f>
        <v>24</v>
      </c>
      <c r="AO10">
        <f>49+4+1</f>
        <v>54</v>
      </c>
      <c r="AQ10">
        <f>70+27+25</f>
        <v>122</v>
      </c>
      <c r="AS10">
        <f>24/200*100</f>
        <v>12</v>
      </c>
      <c r="AU10">
        <f>54/200*100</f>
        <v>27</v>
      </c>
      <c r="AW10">
        <f>122/200*100</f>
        <v>61</v>
      </c>
      <c r="AY10">
        <v>0</v>
      </c>
    </row>
    <row r="11" spans="1:51" x14ac:dyDescent="0.2">
      <c r="A11">
        <v>2011</v>
      </c>
      <c r="B11">
        <v>2</v>
      </c>
      <c r="D11" s="1">
        <v>30327</v>
      </c>
      <c r="F11" s="1">
        <v>56866</v>
      </c>
      <c r="H11" s="1">
        <v>34</v>
      </c>
      <c r="J11" s="1">
        <v>65</v>
      </c>
      <c r="L11">
        <f>27+18+5</f>
        <v>50</v>
      </c>
      <c r="N11">
        <f>8+7+12</f>
        <v>27</v>
      </c>
      <c r="P11">
        <f>68+20+73</f>
        <v>161</v>
      </c>
      <c r="S11">
        <v>5</v>
      </c>
      <c r="U11">
        <v>18</v>
      </c>
      <c r="W11">
        <v>27</v>
      </c>
      <c r="Y11">
        <v>8</v>
      </c>
      <c r="AA11">
        <v>7</v>
      </c>
      <c r="AC11">
        <v>12</v>
      </c>
      <c r="AE11">
        <v>68</v>
      </c>
      <c r="AG11">
        <v>20</v>
      </c>
      <c r="AI11">
        <v>73</v>
      </c>
      <c r="AK11">
        <f>50+27+161</f>
        <v>238</v>
      </c>
      <c r="AM11">
        <f>20+7+18</f>
        <v>45</v>
      </c>
      <c r="AO11">
        <f>68+8+5</f>
        <v>81</v>
      </c>
      <c r="AQ11">
        <f>73+12+27</f>
        <v>112</v>
      </c>
      <c r="AS11">
        <f>45/238*100</f>
        <v>18.907563025210084</v>
      </c>
      <c r="AU11">
        <f>81/238*100</f>
        <v>34.033613445378151</v>
      </c>
      <c r="AW11">
        <f>112/238*100</f>
        <v>47.058823529411761</v>
      </c>
      <c r="AY11">
        <v>0</v>
      </c>
    </row>
    <row r="12" spans="1:51" x14ac:dyDescent="0.2">
      <c r="A12">
        <v>2011</v>
      </c>
      <c r="B12">
        <v>3</v>
      </c>
      <c r="D12" s="1">
        <v>28716</v>
      </c>
      <c r="F12" s="1">
        <v>52143</v>
      </c>
      <c r="H12" s="1">
        <v>35</v>
      </c>
      <c r="J12" s="1">
        <v>64</v>
      </c>
      <c r="L12">
        <f>12+12+36</f>
        <v>60</v>
      </c>
      <c r="N12">
        <f>5+2+28</f>
        <v>35</v>
      </c>
      <c r="P12">
        <f>70+15+100</f>
        <v>185</v>
      </c>
      <c r="S12">
        <v>12</v>
      </c>
      <c r="U12">
        <v>12</v>
      </c>
      <c r="W12">
        <v>36</v>
      </c>
      <c r="Y12">
        <v>5</v>
      </c>
      <c r="AA12">
        <v>2</v>
      </c>
      <c r="AC12">
        <v>28</v>
      </c>
      <c r="AE12">
        <v>70</v>
      </c>
      <c r="AG12">
        <v>15</v>
      </c>
      <c r="AI12">
        <v>100</v>
      </c>
      <c r="AK12">
        <f>60+35+185</f>
        <v>280</v>
      </c>
      <c r="AM12">
        <f>15+2+12</f>
        <v>29</v>
      </c>
      <c r="AO12">
        <f>70+5+12</f>
        <v>87</v>
      </c>
      <c r="AQ12">
        <f>100+28+36</f>
        <v>164</v>
      </c>
      <c r="AS12">
        <f>29/280*100</f>
        <v>10.357142857142858</v>
      </c>
      <c r="AU12">
        <f>87/280*100</f>
        <v>31.071428571428573</v>
      </c>
      <c r="AW12">
        <f>164/280*100</f>
        <v>58.571428571428577</v>
      </c>
      <c r="AY12">
        <v>0</v>
      </c>
    </row>
    <row r="13" spans="1:51" x14ac:dyDescent="0.2">
      <c r="A13">
        <v>2011</v>
      </c>
      <c r="B13">
        <v>4</v>
      </c>
      <c r="D13" s="1">
        <v>32273</v>
      </c>
      <c r="F13" s="1">
        <v>55452</v>
      </c>
      <c r="H13" s="1">
        <v>36</v>
      </c>
      <c r="J13" s="1">
        <v>63</v>
      </c>
      <c r="L13">
        <f>14+25+58</f>
        <v>97</v>
      </c>
      <c r="N13">
        <f>38+4+7</f>
        <v>49</v>
      </c>
      <c r="P13">
        <f>105+120+35</f>
        <v>260</v>
      </c>
      <c r="S13">
        <v>25</v>
      </c>
      <c r="U13">
        <v>14</v>
      </c>
      <c r="W13">
        <v>58</v>
      </c>
      <c r="Y13">
        <v>7</v>
      </c>
      <c r="AA13">
        <v>4</v>
      </c>
      <c r="AC13">
        <v>38</v>
      </c>
      <c r="AE13">
        <v>105</v>
      </c>
      <c r="AG13">
        <v>35</v>
      </c>
      <c r="AI13">
        <v>120</v>
      </c>
      <c r="AK13">
        <f>97+49+260</f>
        <v>406</v>
      </c>
      <c r="AM13">
        <f>35+4+14</f>
        <v>53</v>
      </c>
      <c r="AO13">
        <f>105+7+25</f>
        <v>137</v>
      </c>
      <c r="AQ13">
        <f>120+38+58</f>
        <v>216</v>
      </c>
      <c r="AS13">
        <f>53/406*100</f>
        <v>13.054187192118228</v>
      </c>
      <c r="AU13">
        <f>137/406*100</f>
        <v>33.743842364532014</v>
      </c>
      <c r="AW13">
        <f>216/406*100</f>
        <v>53.201970443349758</v>
      </c>
      <c r="AY13">
        <v>0</v>
      </c>
    </row>
    <row r="14" spans="1:51" x14ac:dyDescent="0.2">
      <c r="A14">
        <v>2012</v>
      </c>
      <c r="B14">
        <v>1</v>
      </c>
      <c r="D14" s="1">
        <v>30711</v>
      </c>
      <c r="F14" s="1">
        <v>51091</v>
      </c>
      <c r="H14" s="1">
        <v>37</v>
      </c>
      <c r="J14" s="1">
        <v>62</v>
      </c>
      <c r="L14">
        <f>45+13+13</f>
        <v>71</v>
      </c>
      <c r="N14">
        <f>4+3+22</f>
        <v>29</v>
      </c>
      <c r="P14">
        <f>89+12+95</f>
        <v>196</v>
      </c>
      <c r="S14">
        <v>13</v>
      </c>
      <c r="U14">
        <v>13</v>
      </c>
      <c r="W14">
        <v>45</v>
      </c>
      <c r="Y14">
        <v>4</v>
      </c>
      <c r="AA14">
        <v>3</v>
      </c>
      <c r="AC14">
        <v>22</v>
      </c>
      <c r="AE14">
        <v>89</v>
      </c>
      <c r="AG14">
        <v>12</v>
      </c>
      <c r="AI14">
        <v>95</v>
      </c>
      <c r="AK14">
        <f>71+29+196</f>
        <v>296</v>
      </c>
      <c r="AM14">
        <f>12+3+13</f>
        <v>28</v>
      </c>
      <c r="AO14">
        <f>89+4+13</f>
        <v>106</v>
      </c>
      <c r="AQ14">
        <f>95+22+45</f>
        <v>162</v>
      </c>
      <c r="AS14">
        <f>28/296*100</f>
        <v>9.4594594594594597</v>
      </c>
      <c r="AU14">
        <f>106/296*100</f>
        <v>35.810810810810814</v>
      </c>
      <c r="AW14">
        <f>162/296*100</f>
        <v>54.729729729729726</v>
      </c>
      <c r="AY14">
        <v>0</v>
      </c>
    </row>
    <row r="15" spans="1:51" x14ac:dyDescent="0.2">
      <c r="A15">
        <v>2012</v>
      </c>
      <c r="B15">
        <v>2</v>
      </c>
      <c r="D15" s="1">
        <v>33997</v>
      </c>
      <c r="F15" s="1">
        <v>57183</v>
      </c>
      <c r="H15" s="1">
        <v>37</v>
      </c>
      <c r="J15" s="1">
        <v>62</v>
      </c>
      <c r="L15">
        <f>6+5+27</f>
        <v>38</v>
      </c>
      <c r="N15">
        <f>5+5+33</f>
        <v>43</v>
      </c>
      <c r="P15">
        <f>70+75+2</f>
        <v>147</v>
      </c>
      <c r="S15">
        <v>6</v>
      </c>
      <c r="U15">
        <v>5</v>
      </c>
      <c r="W15">
        <v>27</v>
      </c>
      <c r="Y15">
        <v>5</v>
      </c>
      <c r="AA15">
        <v>5</v>
      </c>
      <c r="AC15">
        <v>33</v>
      </c>
      <c r="AE15">
        <v>70</v>
      </c>
      <c r="AG15">
        <v>2</v>
      </c>
      <c r="AI15">
        <v>75</v>
      </c>
      <c r="AK15">
        <v>228</v>
      </c>
      <c r="AM15">
        <f>2+5+5</f>
        <v>12</v>
      </c>
      <c r="AO15">
        <f>70+5+6</f>
        <v>81</v>
      </c>
      <c r="AQ15">
        <f>75+33+27</f>
        <v>135</v>
      </c>
      <c r="AS15">
        <f>12/228*100</f>
        <v>5.2631578947368416</v>
      </c>
      <c r="AU15">
        <f>81/228*100</f>
        <v>35.526315789473685</v>
      </c>
      <c r="AW15">
        <f>135/228*100</f>
        <v>59.210526315789465</v>
      </c>
      <c r="AY15">
        <v>0</v>
      </c>
    </row>
    <row r="16" spans="1:51" x14ac:dyDescent="0.2">
      <c r="A16">
        <v>2012</v>
      </c>
      <c r="B16">
        <v>3</v>
      </c>
      <c r="D16" s="1">
        <v>35998</v>
      </c>
      <c r="F16" s="1">
        <v>59107</v>
      </c>
      <c r="H16" s="1">
        <v>38</v>
      </c>
      <c r="J16" s="1">
        <v>62</v>
      </c>
      <c r="L16">
        <f>40+49+15</f>
        <v>104</v>
      </c>
      <c r="N16">
        <f>60+7+7</f>
        <v>74</v>
      </c>
      <c r="P16">
        <f>135+14+74</f>
        <v>223</v>
      </c>
      <c r="S16">
        <v>40</v>
      </c>
      <c r="U16">
        <v>15</v>
      </c>
      <c r="W16">
        <v>49</v>
      </c>
      <c r="Y16">
        <v>7</v>
      </c>
      <c r="AA16">
        <v>7</v>
      </c>
      <c r="AC16">
        <v>60</v>
      </c>
      <c r="AE16">
        <v>74</v>
      </c>
      <c r="AG16">
        <v>14</v>
      </c>
      <c r="AI16">
        <v>135</v>
      </c>
      <c r="AK16">
        <f>104+74+223</f>
        <v>401</v>
      </c>
      <c r="AM16">
        <f>14+7+15</f>
        <v>36</v>
      </c>
      <c r="AO16">
        <f>74+7+40</f>
        <v>121</v>
      </c>
      <c r="AQ16">
        <f>135+60+49</f>
        <v>244</v>
      </c>
      <c r="AS16">
        <f>36/401*100</f>
        <v>8.9775561097256862</v>
      </c>
      <c r="AU16">
        <f>121/401*100</f>
        <v>30.174563591022448</v>
      </c>
      <c r="AW16">
        <f>244/401*100</f>
        <v>60.847880299251869</v>
      </c>
      <c r="AY16">
        <v>0</v>
      </c>
    </row>
    <row r="17" spans="1:51" x14ac:dyDescent="0.2">
      <c r="A17">
        <v>2012</v>
      </c>
      <c r="B17">
        <v>4</v>
      </c>
      <c r="D17" s="1">
        <v>40895</v>
      </c>
      <c r="F17" s="1">
        <v>63077</v>
      </c>
      <c r="H17" s="1">
        <v>39</v>
      </c>
      <c r="J17" s="1">
        <v>60</v>
      </c>
      <c r="L17">
        <f>26+13+56</f>
        <v>95</v>
      </c>
      <c r="N17">
        <f>17+9+48</f>
        <v>74</v>
      </c>
      <c r="P17">
        <f>153+124+19</f>
        <v>296</v>
      </c>
      <c r="S17">
        <v>26</v>
      </c>
      <c r="U17">
        <v>13</v>
      </c>
      <c r="W17">
        <v>56</v>
      </c>
      <c r="Y17">
        <v>17</v>
      </c>
      <c r="AA17">
        <v>9</v>
      </c>
      <c r="AC17">
        <v>48</v>
      </c>
      <c r="AE17">
        <v>124</v>
      </c>
      <c r="AG17">
        <v>19</v>
      </c>
      <c r="AI17">
        <v>153</v>
      </c>
      <c r="AK17">
        <f>95+74+296</f>
        <v>465</v>
      </c>
      <c r="AM17">
        <f>19+9+13</f>
        <v>41</v>
      </c>
      <c r="AO17">
        <f>124+17+26</f>
        <v>167</v>
      </c>
      <c r="AQ17">
        <f>153+48+56</f>
        <v>257</v>
      </c>
      <c r="AS17">
        <f>41/465*100</f>
        <v>8.8172043010752681</v>
      </c>
      <c r="AU17">
        <f>167/465*100</f>
        <v>35.913978494623656</v>
      </c>
      <c r="AW17">
        <f>257/465*100</f>
        <v>55.268817204301079</v>
      </c>
      <c r="AY17">
        <v>0</v>
      </c>
    </row>
    <row r="18" spans="1:51" x14ac:dyDescent="0.2">
      <c r="A18">
        <v>2013</v>
      </c>
      <c r="B18">
        <v>1</v>
      </c>
      <c r="D18" s="1">
        <v>43062</v>
      </c>
      <c r="F18" s="1">
        <v>68456</v>
      </c>
      <c r="H18" s="1">
        <v>38</v>
      </c>
      <c r="J18" s="1">
        <v>61</v>
      </c>
      <c r="L18">
        <f>85+16+27</f>
        <v>128</v>
      </c>
      <c r="N18">
        <f>18+6+64</f>
        <v>88</v>
      </c>
      <c r="P18">
        <f>137+22+160</f>
        <v>319</v>
      </c>
      <c r="S18">
        <v>27</v>
      </c>
      <c r="U18">
        <v>16</v>
      </c>
      <c r="W18">
        <v>85</v>
      </c>
      <c r="Y18">
        <v>18</v>
      </c>
      <c r="AA18">
        <v>6</v>
      </c>
      <c r="AC18">
        <v>64</v>
      </c>
      <c r="AE18">
        <v>137</v>
      </c>
      <c r="AG18">
        <v>22</v>
      </c>
      <c r="AI18">
        <v>160</v>
      </c>
      <c r="AK18">
        <f>128+88+319</f>
        <v>535</v>
      </c>
      <c r="AM18">
        <f>22+6+13</f>
        <v>41</v>
      </c>
      <c r="AO18">
        <f>137+18+21</f>
        <v>176</v>
      </c>
      <c r="AQ18">
        <f>160+64+54</f>
        <v>278</v>
      </c>
      <c r="AS18">
        <f>41/535*100</f>
        <v>7.6635514018691593</v>
      </c>
      <c r="AU18">
        <f>176/535*100</f>
        <v>32.897196261682247</v>
      </c>
      <c r="AW18">
        <f>278/535*100</f>
        <v>51.962616822429908</v>
      </c>
      <c r="AY18">
        <v>0</v>
      </c>
    </row>
    <row r="19" spans="1:51" x14ac:dyDescent="0.2">
      <c r="A19">
        <v>2013</v>
      </c>
      <c r="B19">
        <v>2</v>
      </c>
      <c r="D19" s="1">
        <v>48067</v>
      </c>
      <c r="F19" s="1">
        <v>74450</v>
      </c>
      <c r="H19" s="1">
        <v>39</v>
      </c>
      <c r="J19" s="1">
        <v>60</v>
      </c>
      <c r="L19">
        <f>54+13+21</f>
        <v>88</v>
      </c>
      <c r="N19">
        <f>5+1+27</f>
        <v>33</v>
      </c>
      <c r="P19">
        <f>10+45+87</f>
        <v>142</v>
      </c>
      <c r="S19">
        <v>21</v>
      </c>
      <c r="U19">
        <v>13</v>
      </c>
      <c r="W19">
        <v>54</v>
      </c>
      <c r="Y19">
        <v>5</v>
      </c>
      <c r="AA19">
        <v>1</v>
      </c>
      <c r="AC19">
        <v>27</v>
      </c>
      <c r="AE19">
        <v>45</v>
      </c>
      <c r="AG19">
        <v>10</v>
      </c>
      <c r="AI19">
        <v>87</v>
      </c>
      <c r="AK19">
        <f>88+33+142</f>
        <v>263</v>
      </c>
      <c r="AM19">
        <f>10+1+13</f>
        <v>24</v>
      </c>
      <c r="AO19">
        <f>45+5+21</f>
        <v>71</v>
      </c>
      <c r="AQ19">
        <f>87+27+54</f>
        <v>168</v>
      </c>
      <c r="AS19">
        <f>24/263*100</f>
        <v>9.1254752851711025</v>
      </c>
      <c r="AU19">
        <f>71/263*100</f>
        <v>26.996197718631176</v>
      </c>
      <c r="AW19">
        <f>168/263*100</f>
        <v>63.878326996197721</v>
      </c>
      <c r="AY19">
        <v>0</v>
      </c>
    </row>
    <row r="20" spans="1:51" x14ac:dyDescent="0.2">
      <c r="A20">
        <v>2013</v>
      </c>
      <c r="B20">
        <v>3</v>
      </c>
      <c r="D20" s="1">
        <v>48034</v>
      </c>
      <c r="F20" s="1">
        <v>72532</v>
      </c>
      <c r="H20" s="1">
        <v>40</v>
      </c>
      <c r="J20" s="1">
        <v>60</v>
      </c>
      <c r="L20">
        <f>76+12+23</f>
        <v>111</v>
      </c>
      <c r="N20">
        <f>49+4+6</f>
        <v>59</v>
      </c>
      <c r="P20">
        <f>86+12+120</f>
        <v>218</v>
      </c>
      <c r="S20">
        <v>23</v>
      </c>
      <c r="U20">
        <v>12</v>
      </c>
      <c r="W20">
        <v>76</v>
      </c>
      <c r="Y20">
        <v>4</v>
      </c>
      <c r="AA20">
        <v>6</v>
      </c>
      <c r="AC20">
        <v>49</v>
      </c>
      <c r="AE20">
        <v>86</v>
      </c>
      <c r="AG20">
        <v>12</v>
      </c>
      <c r="AI20">
        <v>120</v>
      </c>
      <c r="AK20">
        <f>111+59+218</f>
        <v>388</v>
      </c>
      <c r="AM20">
        <f>12+6+12</f>
        <v>30</v>
      </c>
      <c r="AO20">
        <f>86+4+23</f>
        <v>113</v>
      </c>
      <c r="AQ20">
        <f>120+49+76</f>
        <v>245</v>
      </c>
      <c r="AS20">
        <f>30/388*100</f>
        <v>7.731958762886598</v>
      </c>
      <c r="AU20">
        <f>113/388*100</f>
        <v>29.123711340206189</v>
      </c>
      <c r="AW20">
        <f>245/388*100</f>
        <v>63.144329896907216</v>
      </c>
      <c r="AY20">
        <v>0</v>
      </c>
    </row>
    <row r="21" spans="1:51" x14ac:dyDescent="0.2">
      <c r="A21">
        <v>2013</v>
      </c>
      <c r="B21">
        <v>4</v>
      </c>
      <c r="D21" s="1">
        <v>40052</v>
      </c>
      <c r="F21" s="1">
        <v>56034</v>
      </c>
      <c r="H21" s="1">
        <v>41</v>
      </c>
      <c r="J21" s="1">
        <v>58</v>
      </c>
      <c r="L21">
        <f>15+8+61</f>
        <v>84</v>
      </c>
      <c r="N21">
        <f>21+5+40</f>
        <v>66</v>
      </c>
      <c r="P21">
        <f>21+81+154</f>
        <v>256</v>
      </c>
      <c r="S21">
        <v>15</v>
      </c>
      <c r="U21">
        <v>8</v>
      </c>
      <c r="W21">
        <v>61</v>
      </c>
      <c r="Y21">
        <v>21</v>
      </c>
      <c r="AA21">
        <v>5</v>
      </c>
      <c r="AC21">
        <v>40</v>
      </c>
      <c r="AE21">
        <v>81</v>
      </c>
      <c r="AG21">
        <v>21</v>
      </c>
      <c r="AI21">
        <v>154</v>
      </c>
      <c r="AK21">
        <f>256+84+66</f>
        <v>406</v>
      </c>
      <c r="AM21">
        <f>21+5+8</f>
        <v>34</v>
      </c>
      <c r="AO21">
        <f>81+21+15</f>
        <v>117</v>
      </c>
      <c r="AQ21">
        <f>154+40+61</f>
        <v>255</v>
      </c>
      <c r="AS21">
        <f>34/406*100</f>
        <v>8.3743842364532011</v>
      </c>
      <c r="AU21">
        <f>117/406*100</f>
        <v>28.817733990147783</v>
      </c>
      <c r="AW21">
        <f>255/406*100</f>
        <v>62.807881773399011</v>
      </c>
      <c r="AY21">
        <v>0</v>
      </c>
    </row>
    <row r="22" spans="1:51" x14ac:dyDescent="0.2">
      <c r="A22">
        <v>2014</v>
      </c>
      <c r="B22">
        <v>1</v>
      </c>
      <c r="D22" s="1">
        <v>19969</v>
      </c>
      <c r="F22" s="1">
        <v>25787</v>
      </c>
      <c r="H22" s="1">
        <v>43</v>
      </c>
      <c r="J22" s="1">
        <v>56</v>
      </c>
      <c r="L22">
        <f>47+7+2</f>
        <v>56</v>
      </c>
      <c r="N22">
        <f>41+3+5</f>
        <v>49</v>
      </c>
      <c r="P22">
        <f>73+18+40</f>
        <v>131</v>
      </c>
      <c r="S22">
        <v>7</v>
      </c>
      <c r="U22">
        <v>2</v>
      </c>
      <c r="W22">
        <v>47</v>
      </c>
      <c r="Y22">
        <v>5</v>
      </c>
      <c r="AA22">
        <v>3</v>
      </c>
      <c r="AC22">
        <v>41</v>
      </c>
      <c r="AE22">
        <v>40</v>
      </c>
      <c r="AG22">
        <v>18</v>
      </c>
      <c r="AI22">
        <v>73</v>
      </c>
      <c r="AK22">
        <f>131+49+56</f>
        <v>236</v>
      </c>
      <c r="AM22">
        <f>18+3+2</f>
        <v>23</v>
      </c>
      <c r="AO22">
        <f>40+5+7</f>
        <v>52</v>
      </c>
      <c r="AQ22">
        <f>73+41+47</f>
        <v>161</v>
      </c>
      <c r="AS22">
        <f>23/236*100</f>
        <v>9.7457627118644066</v>
      </c>
      <c r="AU22">
        <f>52/236*100</f>
        <v>22.033898305084744</v>
      </c>
      <c r="AW22">
        <f>161/236*100</f>
        <v>68.220338983050837</v>
      </c>
      <c r="AY22">
        <v>0</v>
      </c>
    </row>
    <row r="23" spans="1:51" x14ac:dyDescent="0.2">
      <c r="A23">
        <v>2014</v>
      </c>
      <c r="B23">
        <v>2</v>
      </c>
      <c r="D23" s="1">
        <v>14214</v>
      </c>
      <c r="F23" s="1">
        <v>15743</v>
      </c>
      <c r="H23" s="1">
        <v>47</v>
      </c>
      <c r="J23" s="1">
        <v>52</v>
      </c>
      <c r="L23">
        <f>51+7+5</f>
        <v>63</v>
      </c>
      <c r="N23">
        <f>53+1+2</f>
        <v>56</v>
      </c>
      <c r="P23">
        <f>15+31+86</f>
        <v>132</v>
      </c>
      <c r="S23">
        <v>7</v>
      </c>
      <c r="U23">
        <v>5</v>
      </c>
      <c r="W23">
        <v>51</v>
      </c>
      <c r="Y23">
        <v>2</v>
      </c>
      <c r="AA23">
        <v>1</v>
      </c>
      <c r="AC23">
        <v>53</v>
      </c>
      <c r="AE23">
        <v>31</v>
      </c>
      <c r="AG23">
        <v>15</v>
      </c>
      <c r="AI23">
        <v>86</v>
      </c>
      <c r="AK23">
        <f>132+56+63</f>
        <v>251</v>
      </c>
      <c r="AM23">
        <f>15+1+5</f>
        <v>21</v>
      </c>
      <c r="AO23">
        <f>31+2+7</f>
        <v>40</v>
      </c>
      <c r="AQ23">
        <f>86+53+51</f>
        <v>190</v>
      </c>
      <c r="AS23">
        <f>21/251*100</f>
        <v>8.3665338645418323</v>
      </c>
      <c r="AU23">
        <f>40/251*100</f>
        <v>15.936254980079681</v>
      </c>
      <c r="AW23">
        <f>190/251*100</f>
        <v>75.697211155378483</v>
      </c>
      <c r="AY23">
        <v>0</v>
      </c>
    </row>
    <row r="24" spans="1:51" x14ac:dyDescent="0.2">
      <c r="A24">
        <v>2014</v>
      </c>
      <c r="B24">
        <v>3</v>
      </c>
      <c r="D24" s="1">
        <v>11852</v>
      </c>
      <c r="F24" s="1">
        <v>12106</v>
      </c>
      <c r="H24" s="1">
        <v>49</v>
      </c>
      <c r="J24" s="1">
        <v>50</v>
      </c>
      <c r="L24">
        <f>22+9+62</f>
        <v>93</v>
      </c>
      <c r="N24">
        <f>3+5+56</f>
        <v>64</v>
      </c>
      <c r="P24">
        <f>18+62+198</f>
        <v>278</v>
      </c>
      <c r="S24">
        <v>22</v>
      </c>
      <c r="U24">
        <v>9</v>
      </c>
      <c r="W24">
        <v>62</v>
      </c>
      <c r="Y24">
        <v>5</v>
      </c>
      <c r="AA24">
        <v>3</v>
      </c>
      <c r="AC24">
        <v>56</v>
      </c>
      <c r="AE24">
        <v>62</v>
      </c>
      <c r="AG24">
        <v>18</v>
      </c>
      <c r="AI24">
        <v>198</v>
      </c>
      <c r="AK24">
        <f>278+93+64</f>
        <v>435</v>
      </c>
      <c r="AM24">
        <f>18+3+9</f>
        <v>30</v>
      </c>
      <c r="AO24">
        <f>62+5+22</f>
        <v>89</v>
      </c>
      <c r="AQ24">
        <f>198+56+62</f>
        <v>316</v>
      </c>
      <c r="AS24">
        <f>30/435*100</f>
        <v>6.8965517241379306</v>
      </c>
      <c r="AU24">
        <f>89/435*100</f>
        <v>20.459770114942529</v>
      </c>
      <c r="AW24">
        <f>316/435*100</f>
        <v>72.643678160919549</v>
      </c>
      <c r="AY24">
        <v>0</v>
      </c>
    </row>
    <row r="25" spans="1:51" x14ac:dyDescent="0.2">
      <c r="A25">
        <v>2014</v>
      </c>
      <c r="B25">
        <v>4</v>
      </c>
      <c r="D25" s="1">
        <v>12155</v>
      </c>
      <c r="F25" s="1">
        <v>11657</v>
      </c>
      <c r="H25" s="1">
        <v>51</v>
      </c>
      <c r="J25" s="1">
        <v>49</v>
      </c>
      <c r="L25">
        <f>55+11+30</f>
        <v>96</v>
      </c>
      <c r="N25">
        <f>48+1+2</f>
        <v>51</v>
      </c>
      <c r="P25">
        <f>67+111+13</f>
        <v>191</v>
      </c>
      <c r="S25">
        <v>30</v>
      </c>
      <c r="U25">
        <v>11</v>
      </c>
      <c r="W25">
        <v>55</v>
      </c>
      <c r="Y25">
        <v>1</v>
      </c>
      <c r="AA25">
        <v>2</v>
      </c>
      <c r="AC25">
        <v>48</v>
      </c>
      <c r="AE25">
        <v>67</v>
      </c>
      <c r="AG25">
        <v>13</v>
      </c>
      <c r="AI25">
        <v>111</v>
      </c>
      <c r="AK25">
        <f>191+51+96</f>
        <v>338</v>
      </c>
      <c r="AM25">
        <f>13+2+11</f>
        <v>26</v>
      </c>
      <c r="AO25">
        <f>67+1+30</f>
        <v>98</v>
      </c>
      <c r="AQ25">
        <f>111+48+55</f>
        <v>214</v>
      </c>
      <c r="AS25">
        <f>26/338*100</f>
        <v>7.6923076923076925</v>
      </c>
      <c r="AU25">
        <f>98/338*100</f>
        <v>28.994082840236686</v>
      </c>
      <c r="AW25">
        <f>214/338*100</f>
        <v>63.31360946745562</v>
      </c>
      <c r="AY25">
        <v>1</v>
      </c>
    </row>
    <row r="26" spans="1:51" x14ac:dyDescent="0.2">
      <c r="A26">
        <v>2015</v>
      </c>
      <c r="B26">
        <v>1</v>
      </c>
      <c r="D26" s="1">
        <v>15418</v>
      </c>
      <c r="F26" s="1">
        <v>13338</v>
      </c>
      <c r="H26" s="1">
        <v>53</v>
      </c>
      <c r="J26" s="1">
        <v>46</v>
      </c>
      <c r="L26">
        <f>33+14+89</f>
        <v>136</v>
      </c>
      <c r="N26">
        <f>7+4+56</f>
        <v>67</v>
      </c>
      <c r="P26">
        <f>89+312+22</f>
        <v>423</v>
      </c>
      <c r="S26">
        <v>33</v>
      </c>
      <c r="U26">
        <v>14</v>
      </c>
      <c r="W26">
        <v>89</v>
      </c>
      <c r="Y26">
        <v>7</v>
      </c>
      <c r="AA26">
        <v>4</v>
      </c>
      <c r="AC26">
        <v>56</v>
      </c>
      <c r="AE26">
        <v>89</v>
      </c>
      <c r="AG26">
        <v>22</v>
      </c>
      <c r="AI26">
        <v>312</v>
      </c>
      <c r="AK26">
        <f>423+67+136</f>
        <v>626</v>
      </c>
      <c r="AM26">
        <f>22+4+14</f>
        <v>40</v>
      </c>
      <c r="AO26">
        <f>89+7+33</f>
        <v>129</v>
      </c>
      <c r="AQ26">
        <f>312+56+89</f>
        <v>457</v>
      </c>
      <c r="AS26">
        <f>40/626*100</f>
        <v>6.3897763578274756</v>
      </c>
      <c r="AU26">
        <f>129/626*100</f>
        <v>20.60702875399361</v>
      </c>
      <c r="AW26">
        <f>457/626*100</f>
        <v>73.003194888178911</v>
      </c>
      <c r="AY26">
        <v>1</v>
      </c>
    </row>
    <row r="27" spans="1:51" x14ac:dyDescent="0.2">
      <c r="A27">
        <v>2015</v>
      </c>
      <c r="B27">
        <v>2</v>
      </c>
      <c r="D27" s="1">
        <v>17978</v>
      </c>
      <c r="F27" s="1">
        <v>14414</v>
      </c>
      <c r="H27" s="1">
        <v>55</v>
      </c>
      <c r="J27" s="1">
        <v>44</v>
      </c>
      <c r="L27">
        <f>30+20+70</f>
        <v>120</v>
      </c>
      <c r="N27">
        <f>42+3+9</f>
        <v>54</v>
      </c>
      <c r="P27">
        <f>104+201+25</f>
        <v>330</v>
      </c>
      <c r="S27">
        <v>30</v>
      </c>
      <c r="U27">
        <v>20</v>
      </c>
      <c r="W27">
        <v>70</v>
      </c>
      <c r="Y27">
        <v>9</v>
      </c>
      <c r="AA27">
        <v>3</v>
      </c>
      <c r="AC27">
        <v>42</v>
      </c>
      <c r="AE27">
        <v>104</v>
      </c>
      <c r="AG27">
        <v>25</v>
      </c>
      <c r="AI27">
        <v>201</v>
      </c>
      <c r="AK27">
        <f>120+54+330</f>
        <v>504</v>
      </c>
      <c r="AM27">
        <f>25+3+20</f>
        <v>48</v>
      </c>
      <c r="AO27">
        <f>104+9+30</f>
        <v>143</v>
      </c>
      <c r="AQ27">
        <f>201+42+70</f>
        <v>313</v>
      </c>
      <c r="AS27">
        <f>48/504*100</f>
        <v>9.5238095238095237</v>
      </c>
      <c r="AU27">
        <f>143/504*100</f>
        <v>28.373015873015873</v>
      </c>
      <c r="AW27">
        <f>313/504*100</f>
        <v>62.103174603174608</v>
      </c>
      <c r="AY27">
        <v>1</v>
      </c>
    </row>
    <row r="28" spans="1:51" x14ac:dyDescent="0.2">
      <c r="A28">
        <v>2015</v>
      </c>
      <c r="B28">
        <v>3</v>
      </c>
      <c r="D28" s="1">
        <v>17290</v>
      </c>
      <c r="F28" s="1">
        <v>13726</v>
      </c>
      <c r="H28" s="1">
        <v>55</v>
      </c>
      <c r="J28" s="1">
        <v>44</v>
      </c>
      <c r="L28">
        <f>18+92+19</f>
        <v>129</v>
      </c>
      <c r="N28">
        <f>5+2+43</f>
        <v>50</v>
      </c>
      <c r="P28">
        <f>202+362+47</f>
        <v>611</v>
      </c>
      <c r="S28">
        <v>18</v>
      </c>
      <c r="U28">
        <v>19</v>
      </c>
      <c r="W28">
        <v>92</v>
      </c>
      <c r="Y28">
        <v>5</v>
      </c>
      <c r="AA28">
        <v>2</v>
      </c>
      <c r="AC28">
        <v>43</v>
      </c>
      <c r="AE28">
        <v>202</v>
      </c>
      <c r="AG28">
        <v>47</v>
      </c>
      <c r="AI28">
        <v>362</v>
      </c>
      <c r="AK28">
        <f>611+50+129</f>
        <v>790</v>
      </c>
      <c r="AM28">
        <f>47+2+19</f>
        <v>68</v>
      </c>
      <c r="AO28">
        <f>202+5+18</f>
        <v>225</v>
      </c>
      <c r="AQ28">
        <f>362+43+92</f>
        <v>497</v>
      </c>
      <c r="AS28">
        <f>68/790*100</f>
        <v>8.6075949367088604</v>
      </c>
      <c r="AU28">
        <f>225/790*100</f>
        <v>28.481012658227851</v>
      </c>
      <c r="AW28">
        <f>497/790*100</f>
        <v>62.911392405063296</v>
      </c>
      <c r="AY28">
        <v>1</v>
      </c>
    </row>
    <row r="29" spans="1:51" x14ac:dyDescent="0.2">
      <c r="A29">
        <v>2015</v>
      </c>
      <c r="B29">
        <v>4</v>
      </c>
      <c r="D29" s="1">
        <v>21688</v>
      </c>
      <c r="F29" s="1">
        <v>16417</v>
      </c>
      <c r="H29" s="1">
        <v>56</v>
      </c>
      <c r="J29" s="1">
        <v>43</v>
      </c>
      <c r="L29">
        <f>20+21+65</f>
        <v>106</v>
      </c>
      <c r="N29">
        <f>64+5+7</f>
        <v>76</v>
      </c>
      <c r="P29">
        <f>304+65+520</f>
        <v>889</v>
      </c>
      <c r="S29">
        <v>20</v>
      </c>
      <c r="U29">
        <v>21</v>
      </c>
      <c r="W29">
        <v>65</v>
      </c>
      <c r="Y29">
        <v>7</v>
      </c>
      <c r="AA29">
        <v>5</v>
      </c>
      <c r="AC29">
        <v>64</v>
      </c>
      <c r="AE29">
        <v>304</v>
      </c>
      <c r="AG29">
        <v>65</v>
      </c>
      <c r="AI29">
        <v>520</v>
      </c>
      <c r="AK29">
        <f>106+76+889</f>
        <v>1071</v>
      </c>
      <c r="AM29">
        <f>65+5+21</f>
        <v>91</v>
      </c>
      <c r="AO29">
        <f>304+7+20</f>
        <v>331</v>
      </c>
      <c r="AQ29">
        <f>520+64+65</f>
        <v>649</v>
      </c>
      <c r="AS29">
        <f>91/1071*100</f>
        <v>8.4967320261437909</v>
      </c>
      <c r="AU29">
        <f>331/1071*100</f>
        <v>30.905695611577965</v>
      </c>
      <c r="AW29">
        <f>649/1071*100</f>
        <v>60.597572362278243</v>
      </c>
      <c r="AY29">
        <v>0</v>
      </c>
    </row>
    <row r="30" spans="1:51" x14ac:dyDescent="0.2">
      <c r="A30">
        <v>2016</v>
      </c>
      <c r="B30">
        <v>1</v>
      </c>
      <c r="D30" s="1">
        <v>22935</v>
      </c>
      <c r="F30" s="1">
        <v>16102</v>
      </c>
      <c r="H30" s="1">
        <v>58</v>
      </c>
      <c r="J30" s="1">
        <v>41</v>
      </c>
      <c r="L30">
        <f>9+3+37</f>
        <v>49</v>
      </c>
      <c r="N30">
        <f>24+3+2</f>
        <v>29</v>
      </c>
      <c r="P30">
        <f>198+39+343</f>
        <v>580</v>
      </c>
      <c r="S30">
        <v>9</v>
      </c>
      <c r="U30">
        <v>3</v>
      </c>
      <c r="W30">
        <v>37</v>
      </c>
      <c r="Y30">
        <v>2</v>
      </c>
      <c r="AA30">
        <v>3</v>
      </c>
      <c r="AC30">
        <v>24</v>
      </c>
      <c r="AE30">
        <v>198</v>
      </c>
      <c r="AG30">
        <v>39</v>
      </c>
      <c r="AI30">
        <v>343</v>
      </c>
      <c r="AK30">
        <f>49+29+580</f>
        <v>658</v>
      </c>
      <c r="AM30">
        <f>39+3+3</f>
        <v>45</v>
      </c>
      <c r="AO30">
        <f>198+2+9</f>
        <v>209</v>
      </c>
      <c r="AQ30">
        <f>343+24+37</f>
        <v>404</v>
      </c>
      <c r="AS30">
        <f>45/658*100</f>
        <v>6.8389057750759878</v>
      </c>
      <c r="AU30">
        <f>209/658*100</f>
        <v>31.762917933130698</v>
      </c>
      <c r="AW30">
        <f>404/658*100</f>
        <v>61.39817629179332</v>
      </c>
      <c r="AY30">
        <v>0</v>
      </c>
    </row>
    <row r="31" spans="1:51" x14ac:dyDescent="0.2">
      <c r="A31">
        <v>2016</v>
      </c>
      <c r="B31">
        <v>2</v>
      </c>
      <c r="D31" s="1">
        <v>23754</v>
      </c>
      <c r="F31" s="1">
        <v>15461</v>
      </c>
      <c r="H31" s="1">
        <v>60</v>
      </c>
      <c r="J31" s="1">
        <v>39</v>
      </c>
      <c r="L31">
        <f>35+6+0</f>
        <v>41</v>
      </c>
      <c r="N31">
        <f>15+2+1</f>
        <v>18</v>
      </c>
      <c r="P31">
        <f>42+59+8</f>
        <v>109</v>
      </c>
      <c r="S31">
        <v>6</v>
      </c>
      <c r="U31">
        <v>0</v>
      </c>
      <c r="W31">
        <v>35</v>
      </c>
      <c r="Y31">
        <v>2</v>
      </c>
      <c r="AA31">
        <v>1</v>
      </c>
      <c r="AC31">
        <v>15</v>
      </c>
      <c r="AE31">
        <v>42</v>
      </c>
      <c r="AG31">
        <v>8</v>
      </c>
      <c r="AI31">
        <v>59</v>
      </c>
      <c r="AK31">
        <f>109+18+41</f>
        <v>168</v>
      </c>
      <c r="AM31">
        <f>8+1+0</f>
        <v>9</v>
      </c>
      <c r="AO31">
        <f>42+2+6</f>
        <v>50</v>
      </c>
      <c r="AQ31">
        <f>59+15+35</f>
        <v>109</v>
      </c>
      <c r="AS31">
        <f>9/168*100</f>
        <v>5.3571428571428568</v>
      </c>
      <c r="AU31">
        <f>50/168*100</f>
        <v>29.761904761904763</v>
      </c>
      <c r="AW31">
        <f>109/168*100</f>
        <v>64.88095238095238</v>
      </c>
      <c r="AY31">
        <v>0</v>
      </c>
    </row>
    <row r="32" spans="1:51" x14ac:dyDescent="0.2">
      <c r="A32">
        <v>2016</v>
      </c>
      <c r="B32">
        <v>3</v>
      </c>
      <c r="D32" s="1">
        <v>25063</v>
      </c>
      <c r="F32" s="1">
        <v>14365</v>
      </c>
      <c r="H32" s="1">
        <v>63</v>
      </c>
      <c r="J32" s="1">
        <v>36</v>
      </c>
      <c r="L32">
        <f>22+4+46</f>
        <v>72</v>
      </c>
      <c r="N32">
        <f>26+2+2</f>
        <v>30</v>
      </c>
      <c r="P32">
        <f>35+11+82</f>
        <v>128</v>
      </c>
      <c r="S32">
        <v>22</v>
      </c>
      <c r="U32">
        <v>4</v>
      </c>
      <c r="W32">
        <v>46</v>
      </c>
      <c r="Y32">
        <v>2</v>
      </c>
      <c r="AA32">
        <v>2</v>
      </c>
      <c r="AC32">
        <v>26</v>
      </c>
      <c r="AE32">
        <v>35</v>
      </c>
      <c r="AG32">
        <v>11</v>
      </c>
      <c r="AI32">
        <v>82</v>
      </c>
      <c r="AK32">
        <f>128+30+72</f>
        <v>230</v>
      </c>
      <c r="AM32">
        <f>11+2+4</f>
        <v>17</v>
      </c>
      <c r="AO32">
        <f>35+2+22</f>
        <v>59</v>
      </c>
      <c r="AQ32">
        <f>82+26+46</f>
        <v>154</v>
      </c>
      <c r="AS32">
        <f>17/230*100</f>
        <v>7.3913043478260869</v>
      </c>
      <c r="AU32">
        <f>59/230*100</f>
        <v>25.65217391304348</v>
      </c>
      <c r="AW32">
        <f>154/230*100</f>
        <v>66.956521739130437</v>
      </c>
      <c r="AY32">
        <v>0</v>
      </c>
    </row>
    <row r="33" spans="1:51" x14ac:dyDescent="0.2">
      <c r="A33">
        <v>2016</v>
      </c>
      <c r="B33">
        <v>4</v>
      </c>
      <c r="D33" s="1">
        <v>27864</v>
      </c>
      <c r="F33" s="1">
        <v>15673</v>
      </c>
      <c r="H33" s="1">
        <v>63</v>
      </c>
      <c r="J33" s="1">
        <v>36</v>
      </c>
      <c r="L33">
        <f>31+19+2</f>
        <v>52</v>
      </c>
      <c r="N33">
        <f>2+1+30</f>
        <v>33</v>
      </c>
      <c r="P33">
        <f>42+12+76</f>
        <v>130</v>
      </c>
      <c r="S33">
        <v>19</v>
      </c>
      <c r="U33">
        <v>2</v>
      </c>
      <c r="W33">
        <v>31</v>
      </c>
      <c r="Y33">
        <v>2</v>
      </c>
      <c r="AA33">
        <v>1</v>
      </c>
      <c r="AC33">
        <v>30</v>
      </c>
      <c r="AE33">
        <v>42</v>
      </c>
      <c r="AG33">
        <v>12</v>
      </c>
      <c r="AI33">
        <v>76</v>
      </c>
      <c r="AK33">
        <f>130+33+52</f>
        <v>215</v>
      </c>
      <c r="AM33">
        <f>12+1+2</f>
        <v>15</v>
      </c>
      <c r="AO33">
        <f>42+2+19</f>
        <v>63</v>
      </c>
      <c r="AQ33">
        <f>76+30+31</f>
        <v>137</v>
      </c>
      <c r="AS33">
        <f>15/215*100</f>
        <v>6.9767441860465116</v>
      </c>
      <c r="AU33">
        <f>63/215*100</f>
        <v>29.302325581395351</v>
      </c>
      <c r="AW33">
        <f>137/215*100</f>
        <v>63.720930232558139</v>
      </c>
      <c r="AY33">
        <v>1</v>
      </c>
    </row>
    <row r="34" spans="1:51" x14ac:dyDescent="0.2">
      <c r="A34">
        <v>2017</v>
      </c>
      <c r="B34">
        <v>1</v>
      </c>
      <c r="D34" s="1">
        <v>28886</v>
      </c>
      <c r="F34" s="1">
        <v>16867</v>
      </c>
      <c r="H34" s="1">
        <v>63</v>
      </c>
      <c r="J34" s="1">
        <v>37</v>
      </c>
      <c r="L34">
        <f>27+45+4</f>
        <v>76</v>
      </c>
      <c r="N34">
        <f>36+5+2</f>
        <v>43</v>
      </c>
      <c r="P34">
        <f>51+64+9</f>
        <v>124</v>
      </c>
      <c r="S34">
        <v>27</v>
      </c>
      <c r="U34">
        <v>4</v>
      </c>
      <c r="W34">
        <v>45</v>
      </c>
      <c r="Y34">
        <v>5</v>
      </c>
      <c r="AA34">
        <v>2</v>
      </c>
      <c r="AC34">
        <v>36</v>
      </c>
      <c r="AE34">
        <v>51</v>
      </c>
      <c r="AG34">
        <v>9</v>
      </c>
      <c r="AI34">
        <v>64</v>
      </c>
      <c r="AK34">
        <f>124+43+76</f>
        <v>243</v>
      </c>
      <c r="AM34">
        <f>9+2+4</f>
        <v>15</v>
      </c>
      <c r="AO34">
        <f>51+5+27</f>
        <v>83</v>
      </c>
      <c r="AQ34">
        <f>64+36+45</f>
        <v>145</v>
      </c>
      <c r="AS34">
        <f>15/243*100</f>
        <v>6.1728395061728394</v>
      </c>
      <c r="AU34">
        <f>83/243*100</f>
        <v>34.156378600823047</v>
      </c>
      <c r="AW34">
        <f>145/243*100</f>
        <v>59.670781893004111</v>
      </c>
      <c r="AY34">
        <v>1</v>
      </c>
    </row>
    <row r="35" spans="1:51" x14ac:dyDescent="0.2">
      <c r="A35">
        <v>2017</v>
      </c>
      <c r="B35">
        <v>2</v>
      </c>
      <c r="D35" s="1">
        <v>28576</v>
      </c>
      <c r="F35" s="1">
        <v>15815</v>
      </c>
      <c r="H35" s="1">
        <v>64</v>
      </c>
      <c r="J35" s="1">
        <v>35</v>
      </c>
      <c r="L35">
        <f>24+66+7</f>
        <v>97</v>
      </c>
      <c r="N35">
        <f>30+1+6</f>
        <v>37</v>
      </c>
      <c r="P35">
        <f>24+6+52</f>
        <v>82</v>
      </c>
      <c r="S35">
        <v>24</v>
      </c>
      <c r="U35">
        <v>7</v>
      </c>
      <c r="W35">
        <v>66</v>
      </c>
      <c r="Y35">
        <v>6</v>
      </c>
      <c r="AA35">
        <v>1</v>
      </c>
      <c r="AC35">
        <v>30</v>
      </c>
      <c r="AE35">
        <v>24</v>
      </c>
      <c r="AG35">
        <v>6</v>
      </c>
      <c r="AI35">
        <v>52</v>
      </c>
      <c r="AK35">
        <f>97+37+82</f>
        <v>216</v>
      </c>
      <c r="AM35">
        <f>6+1+7</f>
        <v>14</v>
      </c>
      <c r="AO35">
        <f>24+6+24</f>
        <v>54</v>
      </c>
      <c r="AQ35">
        <f>52+30+66</f>
        <v>148</v>
      </c>
      <c r="AS35">
        <f>14/216*100</f>
        <v>6.481481481481481</v>
      </c>
      <c r="AU35">
        <f>54/216*100</f>
        <v>25</v>
      </c>
      <c r="AW35">
        <f>148/216*100</f>
        <v>68.518518518518519</v>
      </c>
      <c r="AY35">
        <v>1</v>
      </c>
    </row>
    <row r="36" spans="1:51" x14ac:dyDescent="0.2">
      <c r="A36">
        <v>2017</v>
      </c>
      <c r="B36">
        <v>3</v>
      </c>
      <c r="D36" s="1">
        <v>28576</v>
      </c>
      <c r="F36" s="1">
        <v>14886</v>
      </c>
      <c r="H36" s="1">
        <v>65</v>
      </c>
      <c r="J36" s="1">
        <v>34</v>
      </c>
      <c r="L36">
        <f>33+59+10</f>
        <v>102</v>
      </c>
      <c r="N36">
        <f>10+31</f>
        <v>41</v>
      </c>
      <c r="P36">
        <f>19+49+60</f>
        <v>128</v>
      </c>
      <c r="S36">
        <v>33</v>
      </c>
      <c r="U36">
        <v>10</v>
      </c>
      <c r="W36">
        <v>59</v>
      </c>
      <c r="Y36">
        <v>10</v>
      </c>
      <c r="AA36">
        <v>0</v>
      </c>
      <c r="AC36">
        <v>31</v>
      </c>
      <c r="AE36">
        <v>49</v>
      </c>
      <c r="AG36">
        <v>19</v>
      </c>
      <c r="AI36">
        <v>60</v>
      </c>
      <c r="AK36">
        <f>128+102+41</f>
        <v>271</v>
      </c>
      <c r="AM36">
        <f>19+10</f>
        <v>29</v>
      </c>
      <c r="AO36">
        <f>49+10+33</f>
        <v>92</v>
      </c>
      <c r="AQ36">
        <f>60+31+59</f>
        <v>150</v>
      </c>
      <c r="AS36">
        <f>29/271*100</f>
        <v>10.701107011070111</v>
      </c>
      <c r="AU36">
        <f>92/271*100</f>
        <v>33.948339483394832</v>
      </c>
      <c r="AW36">
        <f>150/271*100</f>
        <v>55.350553505535061</v>
      </c>
      <c r="AY36">
        <v>1</v>
      </c>
    </row>
    <row r="37" spans="1:51" x14ac:dyDescent="0.2">
      <c r="A37">
        <v>2017</v>
      </c>
      <c r="B37">
        <v>4</v>
      </c>
      <c r="D37" s="1">
        <v>29265</v>
      </c>
      <c r="F37" s="1">
        <v>14663</v>
      </c>
      <c r="H37" s="1">
        <v>66</v>
      </c>
      <c r="J37" s="1">
        <v>33</v>
      </c>
      <c r="L37">
        <f>24+15+78</f>
        <v>117</v>
      </c>
      <c r="N37">
        <f>2+7+50</f>
        <v>59</v>
      </c>
      <c r="P37">
        <f>35+12+89</f>
        <v>136</v>
      </c>
      <c r="S37">
        <v>24</v>
      </c>
      <c r="U37">
        <v>15</v>
      </c>
      <c r="W37">
        <v>78</v>
      </c>
      <c r="Y37">
        <v>7</v>
      </c>
      <c r="AA37">
        <v>2</v>
      </c>
      <c r="AC37">
        <v>50</v>
      </c>
      <c r="AE37">
        <v>35</v>
      </c>
      <c r="AG37">
        <v>12</v>
      </c>
      <c r="AI37">
        <v>89</v>
      </c>
      <c r="AK37">
        <f>117+59+136</f>
        <v>312</v>
      </c>
      <c r="AM37">
        <f>12+2+15</f>
        <v>29</v>
      </c>
      <c r="AO37">
        <f>35+7+24</f>
        <v>66</v>
      </c>
      <c r="AQ37">
        <f>89+50+78</f>
        <v>217</v>
      </c>
      <c r="AS37">
        <f>29/312*100</f>
        <v>9.2948717948717956</v>
      </c>
      <c r="AU37">
        <f>66/312*100</f>
        <v>21.153846153846153</v>
      </c>
      <c r="AW37">
        <f>217/312*100</f>
        <v>69.551282051282044</v>
      </c>
      <c r="AY37">
        <v>0</v>
      </c>
    </row>
    <row r="38" spans="1:51" x14ac:dyDescent="0.2">
      <c r="A38">
        <v>2018</v>
      </c>
      <c r="B38">
        <v>1</v>
      </c>
      <c r="D38" s="1">
        <v>29830</v>
      </c>
      <c r="F38" s="1">
        <v>14177</v>
      </c>
      <c r="H38" s="1">
        <v>67</v>
      </c>
      <c r="J38" s="1">
        <v>32</v>
      </c>
      <c r="L38">
        <f>31+14+80</f>
        <v>125</v>
      </c>
      <c r="N38">
        <f>2+55</f>
        <v>57</v>
      </c>
      <c r="P38">
        <f>55+10+91</f>
        <v>156</v>
      </c>
      <c r="S38">
        <v>31</v>
      </c>
      <c r="U38">
        <v>14</v>
      </c>
      <c r="W38">
        <v>80</v>
      </c>
      <c r="Y38">
        <v>2</v>
      </c>
      <c r="AA38">
        <v>0</v>
      </c>
      <c r="AC38">
        <v>55</v>
      </c>
      <c r="AE38">
        <v>55</v>
      </c>
      <c r="AG38">
        <v>10</v>
      </c>
      <c r="AI38">
        <v>91</v>
      </c>
      <c r="AK38">
        <f>125+57+156</f>
        <v>338</v>
      </c>
      <c r="AM38">
        <f>10+14</f>
        <v>24</v>
      </c>
      <c r="AO38">
        <f>55+2+31</f>
        <v>88</v>
      </c>
      <c r="AQ38">
        <f>91+55+80</f>
        <v>226</v>
      </c>
      <c r="AS38">
        <f>24/338*100</f>
        <v>7.1005917159763312</v>
      </c>
      <c r="AU38">
        <f>88/338*100</f>
        <v>26.035502958579883</v>
      </c>
      <c r="AW38">
        <f>226/338*100</f>
        <v>66.863905325443781</v>
      </c>
      <c r="AY38">
        <v>0</v>
      </c>
    </row>
    <row r="39" spans="1:51" x14ac:dyDescent="0.2">
      <c r="A39">
        <v>2018</v>
      </c>
      <c r="B39">
        <v>2</v>
      </c>
      <c r="D39" s="1">
        <v>27462</v>
      </c>
      <c r="F39" s="1">
        <v>12650</v>
      </c>
      <c r="H39" s="1">
        <v>68</v>
      </c>
      <c r="J39" s="1">
        <v>31</v>
      </c>
      <c r="L39">
        <f>70+19+43</f>
        <v>132</v>
      </c>
      <c r="N39">
        <f>5+2+78</f>
        <v>85</v>
      </c>
      <c r="P39">
        <f>57+69+11</f>
        <v>137</v>
      </c>
      <c r="S39">
        <v>43</v>
      </c>
      <c r="U39">
        <v>19</v>
      </c>
      <c r="W39">
        <v>70</v>
      </c>
      <c r="Y39">
        <v>5</v>
      </c>
      <c r="AA39">
        <v>2</v>
      </c>
      <c r="AC39">
        <v>78</v>
      </c>
      <c r="AE39">
        <v>57</v>
      </c>
      <c r="AG39">
        <v>11</v>
      </c>
      <c r="AI39">
        <v>69</v>
      </c>
      <c r="AK39">
        <f>132+85+137</f>
        <v>354</v>
      </c>
      <c r="AM39">
        <f>11+2+19</f>
        <v>32</v>
      </c>
      <c r="AO39">
        <f>57+5+43</f>
        <v>105</v>
      </c>
      <c r="AQ39">
        <f>69+78+70</f>
        <v>217</v>
      </c>
      <c r="AS39">
        <f>32/354*100</f>
        <v>9.0395480225988702</v>
      </c>
      <c r="AU39">
        <f>105/354*100</f>
        <v>29.66101694915254</v>
      </c>
      <c r="AW39">
        <f>217/354*100</f>
        <v>61.299435028248581</v>
      </c>
      <c r="AY39">
        <v>0</v>
      </c>
    </row>
    <row r="40" spans="1:51" x14ac:dyDescent="0.2">
      <c r="A40">
        <v>2018</v>
      </c>
      <c r="B40">
        <v>3</v>
      </c>
      <c r="D40" s="1">
        <v>28653</v>
      </c>
      <c r="F40" s="1">
        <v>12203</v>
      </c>
      <c r="H40" s="1">
        <v>70</v>
      </c>
      <c r="J40" s="1">
        <v>30</v>
      </c>
      <c r="L40">
        <f>52+22+141</f>
        <v>215</v>
      </c>
      <c r="N40">
        <f>101+5+14</f>
        <v>120</v>
      </c>
      <c r="P40">
        <f>55+154+9</f>
        <v>218</v>
      </c>
      <c r="S40">
        <v>52</v>
      </c>
      <c r="U40">
        <v>22</v>
      </c>
      <c r="W40">
        <v>141</v>
      </c>
      <c r="Y40">
        <v>14</v>
      </c>
      <c r="AA40">
        <v>5</v>
      </c>
      <c r="AC40">
        <v>101</v>
      </c>
      <c r="AE40">
        <v>55</v>
      </c>
      <c r="AG40">
        <v>9</v>
      </c>
      <c r="AI40">
        <v>154</v>
      </c>
      <c r="AK40">
        <f>218+215+120</f>
        <v>553</v>
      </c>
      <c r="AM40">
        <f>9+5+22</f>
        <v>36</v>
      </c>
      <c r="AO40">
        <f>55+14+52</f>
        <v>121</v>
      </c>
      <c r="AQ40">
        <f>154+101+141</f>
        <v>396</v>
      </c>
      <c r="AS40">
        <f>36/553*100</f>
        <v>6.5099457504520801</v>
      </c>
      <c r="AU40">
        <f>121/553*100</f>
        <v>21.880650994575046</v>
      </c>
      <c r="AW40">
        <f>396/553*100</f>
        <v>71.609403254972875</v>
      </c>
      <c r="AY40">
        <v>0</v>
      </c>
    </row>
    <row r="41" spans="1:51" x14ac:dyDescent="0.2">
      <c r="A41">
        <v>2018</v>
      </c>
      <c r="B41">
        <v>4</v>
      </c>
      <c r="D41" s="1">
        <v>29425</v>
      </c>
      <c r="F41" s="1">
        <v>11428</v>
      </c>
      <c r="H41" s="1">
        <v>72</v>
      </c>
      <c r="J41" s="1">
        <v>28</v>
      </c>
      <c r="L41">
        <f>55+11+40</f>
        <v>106</v>
      </c>
      <c r="N41">
        <f>20+2+72</f>
        <v>94</v>
      </c>
      <c r="P41">
        <f>45+11+64</f>
        <v>120</v>
      </c>
      <c r="S41">
        <v>40</v>
      </c>
      <c r="U41">
        <v>11</v>
      </c>
      <c r="W41">
        <v>55</v>
      </c>
      <c r="Y41">
        <v>20</v>
      </c>
      <c r="AA41">
        <v>2</v>
      </c>
      <c r="AC41">
        <v>72</v>
      </c>
      <c r="AE41">
        <v>45</v>
      </c>
      <c r="AG41">
        <v>11</v>
      </c>
      <c r="AI41">
        <v>64</v>
      </c>
      <c r="AK41">
        <f>106+94+120</f>
        <v>320</v>
      </c>
      <c r="AM41">
        <f>11+2+11</f>
        <v>24</v>
      </c>
      <c r="AO41">
        <f>45+20+40</f>
        <v>105</v>
      </c>
      <c r="AQ41">
        <f>64+72+55</f>
        <v>191</v>
      </c>
      <c r="AS41">
        <f>24/320*100</f>
        <v>7.5</v>
      </c>
      <c r="AU41">
        <f>105/320*100</f>
        <v>32.8125</v>
      </c>
      <c r="AW41">
        <f>191/320*100</f>
        <v>59.687500000000007</v>
      </c>
      <c r="AY41">
        <v>1</v>
      </c>
    </row>
    <row r="42" spans="1:51" x14ac:dyDescent="0.2">
      <c r="A42">
        <v>2019</v>
      </c>
      <c r="B42">
        <v>1</v>
      </c>
      <c r="D42" s="1">
        <v>27286</v>
      </c>
      <c r="F42" s="1">
        <v>10543</v>
      </c>
      <c r="H42" s="1">
        <v>72</v>
      </c>
      <c r="J42" s="1">
        <v>28</v>
      </c>
      <c r="L42">
        <f>46+8+12</f>
        <v>66</v>
      </c>
      <c r="N42">
        <f>7+2+88</f>
        <v>97</v>
      </c>
      <c r="P42">
        <f>40+10+99</f>
        <v>149</v>
      </c>
      <c r="S42">
        <v>12</v>
      </c>
      <c r="U42">
        <v>8</v>
      </c>
      <c r="W42">
        <v>46</v>
      </c>
      <c r="Y42">
        <v>7</v>
      </c>
      <c r="AA42">
        <v>2</v>
      </c>
      <c r="AC42">
        <v>88</v>
      </c>
      <c r="AE42">
        <v>40</v>
      </c>
      <c r="AG42">
        <v>10</v>
      </c>
      <c r="AI42">
        <v>99</v>
      </c>
      <c r="AK42">
        <f>149+66+97</f>
        <v>312</v>
      </c>
      <c r="AM42">
        <f>10+2+8</f>
        <v>20</v>
      </c>
      <c r="AO42">
        <f>40+7+12</f>
        <v>59</v>
      </c>
      <c r="AQ42">
        <f>99+88+46</f>
        <v>233</v>
      </c>
      <c r="AS42">
        <f>20/312*100</f>
        <v>6.4102564102564097</v>
      </c>
      <c r="AU42">
        <f>59/312*100</f>
        <v>18.910256410256409</v>
      </c>
      <c r="AW42">
        <f>233/312*100</f>
        <v>74.679487179487182</v>
      </c>
      <c r="AY42">
        <v>1</v>
      </c>
    </row>
    <row r="43" spans="1:51" x14ac:dyDescent="0.2">
      <c r="A43">
        <v>2019</v>
      </c>
      <c r="B43">
        <v>2</v>
      </c>
      <c r="D43" s="1">
        <v>27024</v>
      </c>
      <c r="F43" s="1">
        <v>10120</v>
      </c>
      <c r="H43" s="1">
        <v>72</v>
      </c>
      <c r="J43" s="1">
        <v>27</v>
      </c>
      <c r="L43">
        <f>30+20+5</f>
        <v>55</v>
      </c>
      <c r="N43">
        <f>5+37+64</f>
        <v>106</v>
      </c>
      <c r="P43">
        <f>9+69+70</f>
        <v>148</v>
      </c>
      <c r="S43">
        <v>20</v>
      </c>
      <c r="U43">
        <v>5</v>
      </c>
      <c r="W43">
        <v>30</v>
      </c>
      <c r="Y43">
        <v>37</v>
      </c>
      <c r="AA43">
        <v>5</v>
      </c>
      <c r="AC43">
        <v>64</v>
      </c>
      <c r="AE43">
        <v>69</v>
      </c>
      <c r="AG43">
        <v>9</v>
      </c>
      <c r="AI43">
        <v>70</v>
      </c>
      <c r="AK43">
        <f>55+106+148</f>
        <v>309</v>
      </c>
      <c r="AM43">
        <f>9+5+5</f>
        <v>19</v>
      </c>
      <c r="AO43">
        <f>69+37+20</f>
        <v>126</v>
      </c>
      <c r="AQ43">
        <f>70+64+30</f>
        <v>164</v>
      </c>
      <c r="AS43">
        <f>19/309*100</f>
        <v>6.1488673139158578</v>
      </c>
      <c r="AU43">
        <f>126/309*100</f>
        <v>40.776699029126213</v>
      </c>
      <c r="AW43">
        <f>164/309*100</f>
        <v>53.074433656957929</v>
      </c>
      <c r="AY43">
        <v>1</v>
      </c>
    </row>
    <row r="44" spans="1:51" x14ac:dyDescent="0.2">
      <c r="A44">
        <v>2019</v>
      </c>
      <c r="B44">
        <v>3</v>
      </c>
      <c r="D44" s="1">
        <v>23932</v>
      </c>
      <c r="F44" s="1">
        <v>8932</v>
      </c>
      <c r="H44" s="1">
        <v>72</v>
      </c>
      <c r="J44" s="1">
        <v>27</v>
      </c>
      <c r="L44">
        <f>44+62+11</f>
        <v>117</v>
      </c>
      <c r="N44">
        <f>56+12+2</f>
        <v>70</v>
      </c>
      <c r="P44">
        <f>76+52+7</f>
        <v>135</v>
      </c>
      <c r="S44">
        <v>44</v>
      </c>
      <c r="U44">
        <v>11</v>
      </c>
      <c r="W44">
        <v>52</v>
      </c>
      <c r="Y44">
        <v>12</v>
      </c>
      <c r="AA44">
        <v>2</v>
      </c>
      <c r="AC44">
        <v>56</v>
      </c>
      <c r="AE44">
        <v>52</v>
      </c>
      <c r="AG44">
        <v>7</v>
      </c>
      <c r="AI44">
        <v>76</v>
      </c>
      <c r="AK44">
        <f>117+70+135</f>
        <v>322</v>
      </c>
      <c r="AM44">
        <f>7+2+11</f>
        <v>20</v>
      </c>
      <c r="AO44">
        <f>52+12+44</f>
        <v>108</v>
      </c>
      <c r="AQ44">
        <f>76+56+52</f>
        <v>184</v>
      </c>
      <c r="AS44">
        <f>20/322*100</f>
        <v>6.2111801242236027</v>
      </c>
      <c r="AU44">
        <f>108/322*100</f>
        <v>33.540372670807457</v>
      </c>
      <c r="AW44">
        <f>184/322*100</f>
        <v>57.142857142857139</v>
      </c>
      <c r="AY44">
        <v>1</v>
      </c>
    </row>
    <row r="45" spans="1:51" x14ac:dyDescent="0.2">
      <c r="A45">
        <v>2019</v>
      </c>
      <c r="B45">
        <v>4</v>
      </c>
      <c r="D45" s="1">
        <v>22649</v>
      </c>
      <c r="F45" s="1">
        <v>8849</v>
      </c>
      <c r="H45" s="1">
        <v>72</v>
      </c>
      <c r="J45" s="1">
        <v>28</v>
      </c>
      <c r="L45">
        <f>36+54+5</f>
        <v>95</v>
      </c>
      <c r="N45">
        <f>50+10+1</f>
        <v>61</v>
      </c>
      <c r="P45">
        <f>54+9+102</f>
        <v>165</v>
      </c>
      <c r="S45">
        <v>36</v>
      </c>
      <c r="U45">
        <v>5</v>
      </c>
      <c r="W45">
        <v>54</v>
      </c>
      <c r="Y45">
        <v>10</v>
      </c>
      <c r="AA45">
        <v>1</v>
      </c>
      <c r="AC45">
        <v>50</v>
      </c>
      <c r="AE45">
        <v>54</v>
      </c>
      <c r="AG45">
        <v>9</v>
      </c>
      <c r="AI45">
        <v>102</v>
      </c>
      <c r="AK45">
        <f>95+61+165</f>
        <v>321</v>
      </c>
      <c r="AM45">
        <f>9+1+5</f>
        <v>15</v>
      </c>
      <c r="AO45">
        <f>54+10+36</f>
        <v>100</v>
      </c>
      <c r="AQ45">
        <f>102+50+54</f>
        <v>206</v>
      </c>
      <c r="AS45">
        <f>15/321*100</f>
        <v>4.6728971962616823</v>
      </c>
      <c r="AU45">
        <f>100/321*100</f>
        <v>31.15264797507788</v>
      </c>
      <c r="AW45">
        <f>206/321*100</f>
        <v>64.17445482866043</v>
      </c>
      <c r="AY45">
        <v>0</v>
      </c>
    </row>
    <row r="46" spans="1:51" x14ac:dyDescent="0.2">
      <c r="A46">
        <v>2020</v>
      </c>
      <c r="B46">
        <v>1</v>
      </c>
      <c r="D46" s="1">
        <v>15811</v>
      </c>
      <c r="F46" s="1">
        <v>4626</v>
      </c>
      <c r="H46" s="1">
        <v>77</v>
      </c>
      <c r="J46" s="1">
        <v>23</v>
      </c>
      <c r="L46">
        <f>22+3+37</f>
        <v>62</v>
      </c>
      <c r="N46">
        <f>6+1+88</f>
        <v>95</v>
      </c>
      <c r="P46">
        <f>72+98+13</f>
        <v>183</v>
      </c>
      <c r="S46">
        <v>22</v>
      </c>
      <c r="U46">
        <v>3</v>
      </c>
      <c r="W46">
        <v>37</v>
      </c>
      <c r="Y46">
        <v>6</v>
      </c>
      <c r="AA46">
        <v>1</v>
      </c>
      <c r="AC46">
        <v>88</v>
      </c>
      <c r="AE46">
        <v>98</v>
      </c>
      <c r="AG46">
        <v>13</v>
      </c>
      <c r="AI46">
        <v>72</v>
      </c>
      <c r="AK46">
        <f>62+95+183</f>
        <v>340</v>
      </c>
      <c r="AM46">
        <f>13+1+3</f>
        <v>17</v>
      </c>
      <c r="AO46">
        <f>98+6+22</f>
        <v>126</v>
      </c>
      <c r="AQ46">
        <f>72+88+37</f>
        <v>197</v>
      </c>
      <c r="AS46">
        <f>17/340*100</f>
        <v>5</v>
      </c>
      <c r="AU46">
        <f>126/340*100</f>
        <v>37.058823529411768</v>
      </c>
      <c r="AW46">
        <f>197/340*100</f>
        <v>57.941176470588239</v>
      </c>
      <c r="AY46">
        <v>0</v>
      </c>
    </row>
    <row r="47" spans="1:51" x14ac:dyDescent="0.2">
      <c r="A47">
        <v>2020</v>
      </c>
      <c r="B47">
        <v>2</v>
      </c>
      <c r="D47" s="1">
        <v>18106</v>
      </c>
      <c r="F47" s="1">
        <v>7097</v>
      </c>
      <c r="H47" s="1">
        <v>72</v>
      </c>
      <c r="J47" s="1">
        <v>28</v>
      </c>
      <c r="L47">
        <f>25+35+4</f>
        <v>64</v>
      </c>
      <c r="N47">
        <f>4+0+56</f>
        <v>60</v>
      </c>
      <c r="P47">
        <f>48+9+98</f>
        <v>155</v>
      </c>
      <c r="S47">
        <v>25</v>
      </c>
      <c r="U47">
        <v>4</v>
      </c>
      <c r="W47">
        <v>35</v>
      </c>
      <c r="Y47">
        <v>4</v>
      </c>
      <c r="AA47">
        <v>0</v>
      </c>
      <c r="AC47">
        <v>56</v>
      </c>
      <c r="AE47">
        <v>48</v>
      </c>
      <c r="AG47">
        <v>9</v>
      </c>
      <c r="AI47">
        <v>98</v>
      </c>
      <c r="AK47">
        <f>60+64+155</f>
        <v>279</v>
      </c>
      <c r="AM47">
        <f>9+0+4</f>
        <v>13</v>
      </c>
      <c r="AO47">
        <f>48+4+25</f>
        <v>77</v>
      </c>
      <c r="AQ47">
        <f>98+56+35</f>
        <v>189</v>
      </c>
      <c r="AS47">
        <f>13/279*100</f>
        <v>4.6594982078853047</v>
      </c>
      <c r="AU47">
        <f>77/279*100</f>
        <v>27.598566308243726</v>
      </c>
      <c r="AW47">
        <f>189/279*100</f>
        <v>67.741935483870961</v>
      </c>
      <c r="AY47">
        <v>0</v>
      </c>
    </row>
    <row r="48" spans="1:51" x14ac:dyDescent="0.2">
      <c r="A48">
        <v>2020</v>
      </c>
      <c r="B48">
        <v>3</v>
      </c>
      <c r="D48" s="1">
        <v>15612</v>
      </c>
      <c r="F48" s="1">
        <v>7802</v>
      </c>
      <c r="H48" s="1">
        <v>66</v>
      </c>
      <c r="J48" s="1">
        <v>33</v>
      </c>
      <c r="L48">
        <f>49+31+5</f>
        <v>85</v>
      </c>
      <c r="N48">
        <f>14+2+62</f>
        <v>78</v>
      </c>
      <c r="P48">
        <f>50+101+10</f>
        <v>161</v>
      </c>
      <c r="S48">
        <v>31</v>
      </c>
      <c r="U48">
        <v>5</v>
      </c>
      <c r="W48">
        <v>49</v>
      </c>
      <c r="Y48">
        <v>14</v>
      </c>
      <c r="AA48">
        <v>2</v>
      </c>
      <c r="AC48">
        <v>62</v>
      </c>
      <c r="AE48">
        <v>50</v>
      </c>
      <c r="AG48">
        <v>10</v>
      </c>
      <c r="AI48">
        <v>101</v>
      </c>
      <c r="AK48">
        <f>85+78+161</f>
        <v>324</v>
      </c>
      <c r="AM48">
        <f>10+2+5</f>
        <v>17</v>
      </c>
      <c r="AO48">
        <f>50+14+31</f>
        <v>95</v>
      </c>
      <c r="AQ48">
        <f>101+62+49</f>
        <v>212</v>
      </c>
      <c r="AS48">
        <f>17/324*100</f>
        <v>5.2469135802469129</v>
      </c>
      <c r="AU48">
        <f>95/324*100</f>
        <v>29.320987654320991</v>
      </c>
      <c r="AW48">
        <f>212/324*100</f>
        <v>65.432098765432102</v>
      </c>
      <c r="AY48">
        <v>0</v>
      </c>
    </row>
    <row r="49" spans="1:51" x14ac:dyDescent="0.2">
      <c r="A49">
        <v>2020</v>
      </c>
      <c r="B49">
        <v>4</v>
      </c>
      <c r="D49" s="1">
        <v>14363</v>
      </c>
      <c r="F49" s="1">
        <v>7217</v>
      </c>
      <c r="H49" s="1">
        <v>66</v>
      </c>
      <c r="J49" s="1">
        <v>33</v>
      </c>
      <c r="L49">
        <f>42+24+5</f>
        <v>71</v>
      </c>
      <c r="N49">
        <f>10+79+3</f>
        <v>92</v>
      </c>
      <c r="P49">
        <f>40+88+11</f>
        <v>139</v>
      </c>
      <c r="S49">
        <v>24</v>
      </c>
      <c r="U49">
        <v>5</v>
      </c>
      <c r="W49">
        <v>42</v>
      </c>
      <c r="Y49">
        <v>10</v>
      </c>
      <c r="AA49">
        <v>3</v>
      </c>
      <c r="AC49">
        <v>79</v>
      </c>
      <c r="AE49">
        <v>40</v>
      </c>
      <c r="AG49">
        <v>11</v>
      </c>
      <c r="AI49">
        <v>88</v>
      </c>
      <c r="AK49">
        <f>71+92+139</f>
        <v>302</v>
      </c>
      <c r="AM49">
        <f>11+3+5</f>
        <v>19</v>
      </c>
      <c r="AO49">
        <f>40+10+24</f>
        <v>74</v>
      </c>
      <c r="AQ49">
        <f>88+79+42</f>
        <v>209</v>
      </c>
      <c r="AS49">
        <f>19/302*100</f>
        <v>6.2913907284768218</v>
      </c>
      <c r="AU49">
        <f>74/302*100</f>
        <v>24.503311258278146</v>
      </c>
      <c r="AW49">
        <f>209/302*100</f>
        <v>69.205298013245027</v>
      </c>
      <c r="AY49">
        <v>0</v>
      </c>
    </row>
    <row r="50" spans="1:51" x14ac:dyDescent="0.2">
      <c r="A50">
        <v>2021</v>
      </c>
      <c r="B50">
        <v>1</v>
      </c>
      <c r="D50" s="1">
        <v>11005</v>
      </c>
      <c r="F50" s="1">
        <v>6636</v>
      </c>
      <c r="H50" s="1">
        <v>62</v>
      </c>
      <c r="J50" s="1">
        <v>37</v>
      </c>
      <c r="L50">
        <f>14+36+6</f>
        <v>56</v>
      </c>
      <c r="N50">
        <f>77+11+3</f>
        <v>91</v>
      </c>
      <c r="P50">
        <f>38+70+14</f>
        <v>122</v>
      </c>
      <c r="S50">
        <v>14</v>
      </c>
      <c r="U50">
        <v>6</v>
      </c>
      <c r="W50">
        <v>36</v>
      </c>
      <c r="Y50">
        <v>11</v>
      </c>
      <c r="AA50">
        <v>3</v>
      </c>
      <c r="AC50">
        <v>77</v>
      </c>
      <c r="AE50">
        <v>38</v>
      </c>
      <c r="AG50">
        <v>14</v>
      </c>
      <c r="AI50">
        <v>70</v>
      </c>
      <c r="AK50">
        <f>56+91+122</f>
        <v>269</v>
      </c>
      <c r="AM50">
        <f>14+3+6</f>
        <v>23</v>
      </c>
      <c r="AO50">
        <f>38+11+14</f>
        <v>63</v>
      </c>
      <c r="AQ50">
        <f>70+77+36</f>
        <v>183</v>
      </c>
      <c r="AS50">
        <f>23/269*100</f>
        <v>8.5501858736059475</v>
      </c>
      <c r="AU50">
        <f>63/269*100</f>
        <v>23.42007434944238</v>
      </c>
      <c r="AW50">
        <f>183/269*100</f>
        <v>68.029739776951672</v>
      </c>
      <c r="AY50">
        <v>0</v>
      </c>
    </row>
    <row r="51" spans="1:51" x14ac:dyDescent="0.2">
      <c r="A51">
        <v>2021</v>
      </c>
      <c r="B51">
        <v>2</v>
      </c>
      <c r="D51" s="1">
        <v>8667</v>
      </c>
      <c r="F51" s="1">
        <v>5763</v>
      </c>
      <c r="H51" s="1">
        <v>60</v>
      </c>
      <c r="J51" s="1">
        <v>40</v>
      </c>
      <c r="L51">
        <f>41+30+7</f>
        <v>78</v>
      </c>
      <c r="N51">
        <f>4+3+78</f>
        <v>85</v>
      </c>
      <c r="P51">
        <f>50+72+16</f>
        <v>138</v>
      </c>
      <c r="S51">
        <v>30</v>
      </c>
      <c r="U51">
        <v>7</v>
      </c>
      <c r="W51">
        <v>41</v>
      </c>
      <c r="Y51">
        <v>4</v>
      </c>
      <c r="AA51">
        <v>3</v>
      </c>
      <c r="AC51">
        <v>78</v>
      </c>
      <c r="AE51">
        <v>50</v>
      </c>
      <c r="AG51">
        <v>16</v>
      </c>
      <c r="AI51">
        <v>72</v>
      </c>
      <c r="AK51">
        <f>78+85+138</f>
        <v>301</v>
      </c>
      <c r="AM51">
        <f>16+3+7</f>
        <v>26</v>
      </c>
      <c r="AO51">
        <f>50+4+30</f>
        <v>84</v>
      </c>
      <c r="AQ51">
        <f>72+78+41</f>
        <v>191</v>
      </c>
      <c r="AS51">
        <f>26/301*100</f>
        <v>8.6378737541528228</v>
      </c>
      <c r="AU51">
        <f>84/301*100</f>
        <v>27.906976744186046</v>
      </c>
      <c r="AW51">
        <f>191/301*100</f>
        <v>63.455149501661133</v>
      </c>
      <c r="AY51">
        <v>0</v>
      </c>
    </row>
    <row r="52" spans="1:51" x14ac:dyDescent="0.2">
      <c r="A52">
        <v>2012</v>
      </c>
      <c r="B52">
        <v>3</v>
      </c>
      <c r="D52" s="1">
        <v>6995</v>
      </c>
      <c r="F52" s="1">
        <v>4633</v>
      </c>
      <c r="H52" s="1">
        <v>60</v>
      </c>
      <c r="J52" s="1">
        <v>40</v>
      </c>
      <c r="L52">
        <f>15+8+20</f>
        <v>43</v>
      </c>
      <c r="N52">
        <f>57+33+4</f>
        <v>94</v>
      </c>
      <c r="P52">
        <f>31+15+50</f>
        <v>96</v>
      </c>
      <c r="S52">
        <v>15</v>
      </c>
      <c r="U52">
        <v>8</v>
      </c>
      <c r="W52">
        <v>20</v>
      </c>
      <c r="Y52">
        <v>33</v>
      </c>
      <c r="AA52">
        <v>4</v>
      </c>
      <c r="AC52">
        <v>57</v>
      </c>
      <c r="AE52">
        <v>31</v>
      </c>
      <c r="AG52">
        <v>15</v>
      </c>
      <c r="AI52">
        <v>50</v>
      </c>
      <c r="AK52">
        <f>96+43+94</f>
        <v>233</v>
      </c>
      <c r="AM52">
        <f>15+4+8</f>
        <v>27</v>
      </c>
      <c r="AO52">
        <f>31+33+15</f>
        <v>79</v>
      </c>
      <c r="AQ52">
        <f>50+57+20</f>
        <v>127</v>
      </c>
      <c r="AS52">
        <f>27/233*100</f>
        <v>11.587982832618025</v>
      </c>
      <c r="AU52">
        <f>79/233*100</f>
        <v>33.905579399141637</v>
      </c>
      <c r="AW52">
        <f>127/233*100</f>
        <v>54.506437768240346</v>
      </c>
      <c r="AY52">
        <v>0</v>
      </c>
    </row>
    <row r="53" spans="1:51" x14ac:dyDescent="0.2">
      <c r="A53">
        <v>2021</v>
      </c>
      <c r="B53">
        <v>4</v>
      </c>
      <c r="D53" s="1">
        <v>8094</v>
      </c>
      <c r="F53" s="1">
        <v>4477</v>
      </c>
      <c r="H53" s="1">
        <v>64</v>
      </c>
      <c r="J53" s="1">
        <v>35</v>
      </c>
      <c r="L53">
        <f>45+10+3</f>
        <v>58</v>
      </c>
      <c r="N53">
        <f>55+4+2</f>
        <v>61</v>
      </c>
      <c r="P53">
        <f>24+11+65</f>
        <v>100</v>
      </c>
      <c r="S53">
        <v>10</v>
      </c>
      <c r="U53">
        <v>3</v>
      </c>
      <c r="W53">
        <v>45</v>
      </c>
      <c r="Y53">
        <v>4</v>
      </c>
      <c r="AA53">
        <v>2</v>
      </c>
      <c r="AC53">
        <v>55</v>
      </c>
      <c r="AE53">
        <v>24</v>
      </c>
      <c r="AG53">
        <v>11</v>
      </c>
      <c r="AI53">
        <v>65</v>
      </c>
      <c r="AK53">
        <f>100+61+58</f>
        <v>219</v>
      </c>
      <c r="AM53">
        <f>11+2+3</f>
        <v>16</v>
      </c>
      <c r="AO53">
        <f>24+4+10</f>
        <v>38</v>
      </c>
      <c r="AQ53">
        <f>65+55+45</f>
        <v>165</v>
      </c>
      <c r="AS53">
        <f>16/219*100</f>
        <v>7.3059360730593603</v>
      </c>
      <c r="AU53">
        <f>38/219*100</f>
        <v>17.351598173515981</v>
      </c>
      <c r="AW53">
        <f>165/219*100</f>
        <v>75.342465753424662</v>
      </c>
      <c r="AY53">
        <v>0</v>
      </c>
    </row>
    <row r="54" spans="1:51" x14ac:dyDescent="0.2">
      <c r="A54">
        <v>2022</v>
      </c>
      <c r="B54">
        <v>1</v>
      </c>
      <c r="D54" s="1">
        <v>9802</v>
      </c>
      <c r="F54" s="1">
        <v>5484</v>
      </c>
      <c r="H54" s="1">
        <v>64</v>
      </c>
      <c r="J54" s="1">
        <v>36</v>
      </c>
      <c r="L54">
        <f>22+10+58</f>
        <v>90</v>
      </c>
      <c r="N54">
        <f>72+12+3</f>
        <v>87</v>
      </c>
      <c r="P54">
        <f>33+14+71</f>
        <v>118</v>
      </c>
      <c r="S54">
        <v>22</v>
      </c>
      <c r="U54">
        <v>10</v>
      </c>
      <c r="W54">
        <v>58</v>
      </c>
      <c r="Y54">
        <v>12</v>
      </c>
      <c r="AA54">
        <v>3</v>
      </c>
      <c r="AC54">
        <v>72</v>
      </c>
      <c r="AE54">
        <v>33</v>
      </c>
      <c r="AG54">
        <v>14</v>
      </c>
      <c r="AI54">
        <v>71</v>
      </c>
      <c r="AK54">
        <f>90+87+118</f>
        <v>295</v>
      </c>
      <c r="AM54">
        <f>14+3+10</f>
        <v>27</v>
      </c>
      <c r="AO54">
        <f>33+12+22</f>
        <v>67</v>
      </c>
      <c r="AQ54">
        <f>71+72+58</f>
        <v>201</v>
      </c>
      <c r="AS54">
        <f>27/295*100</f>
        <v>9.1525423728813564</v>
      </c>
      <c r="AU54">
        <f>67/295*100</f>
        <v>22.711864406779661</v>
      </c>
      <c r="AW54">
        <f>201/295*100</f>
        <v>68.13559322033899</v>
      </c>
      <c r="AY54">
        <v>0</v>
      </c>
    </row>
    <row r="55" spans="1:51" x14ac:dyDescent="0.2">
      <c r="A55">
        <v>2022</v>
      </c>
      <c r="B55">
        <v>2</v>
      </c>
      <c r="D55" s="1">
        <v>11855</v>
      </c>
      <c r="F55" s="1">
        <v>7461</v>
      </c>
      <c r="H55" s="1">
        <v>61</v>
      </c>
      <c r="J55" s="1">
        <v>39</v>
      </c>
      <c r="L55">
        <f>43+18+8</f>
        <v>69</v>
      </c>
      <c r="N55">
        <f>20+2+57</f>
        <v>79</v>
      </c>
      <c r="P55">
        <f>35+15+78</f>
        <v>128</v>
      </c>
      <c r="S55">
        <v>18</v>
      </c>
      <c r="U55">
        <v>8</v>
      </c>
      <c r="W55">
        <v>43</v>
      </c>
      <c r="Y55">
        <v>20</v>
      </c>
      <c r="AA55">
        <v>2</v>
      </c>
      <c r="AC55">
        <v>57</v>
      </c>
      <c r="AE55">
        <v>35</v>
      </c>
      <c r="AG55">
        <v>15</v>
      </c>
      <c r="AI55">
        <v>78</v>
      </c>
      <c r="AK55">
        <f>69+79+128</f>
        <v>276</v>
      </c>
      <c r="AM55">
        <f>15+2+8</f>
        <v>25</v>
      </c>
      <c r="AO55">
        <f>35+20+18</f>
        <v>73</v>
      </c>
      <c r="AQ55">
        <f>78+57+43</f>
        <v>178</v>
      </c>
      <c r="AS55">
        <f>25/276*100</f>
        <v>9.0579710144927539</v>
      </c>
      <c r="AU55">
        <f>73/276*100</f>
        <v>26.44927536231884</v>
      </c>
      <c r="AW55">
        <f>178/276*100</f>
        <v>64.492753623188406</v>
      </c>
      <c r="AY55">
        <v>0</v>
      </c>
    </row>
    <row r="56" spans="1:51" x14ac:dyDescent="0.2">
      <c r="A56">
        <v>2022</v>
      </c>
      <c r="B56">
        <v>3</v>
      </c>
      <c r="D56" s="1">
        <v>12174</v>
      </c>
      <c r="F56" s="1">
        <v>7245</v>
      </c>
      <c r="H56" s="1">
        <v>62</v>
      </c>
      <c r="J56" s="1">
        <v>37</v>
      </c>
      <c r="L56">
        <f>40+12+55</f>
        <v>107</v>
      </c>
      <c r="N56">
        <f>13+4+70</f>
        <v>87</v>
      </c>
      <c r="P56">
        <f>87+92+12</f>
        <v>191</v>
      </c>
      <c r="S56">
        <v>40</v>
      </c>
      <c r="U56">
        <v>12</v>
      </c>
      <c r="W56">
        <v>55</v>
      </c>
      <c r="Y56">
        <v>13</v>
      </c>
      <c r="AA56">
        <v>4</v>
      </c>
      <c r="AC56">
        <v>70</v>
      </c>
      <c r="AE56">
        <v>87</v>
      </c>
      <c r="AG56">
        <v>12</v>
      </c>
      <c r="AI56">
        <v>92</v>
      </c>
      <c r="AK56">
        <f>107+87+191</f>
        <v>385</v>
      </c>
      <c r="AM56">
        <f>12+4+12</f>
        <v>28</v>
      </c>
      <c r="AO56">
        <f>87+13+40</f>
        <v>140</v>
      </c>
      <c r="AQ56">
        <f>92+70+55</f>
        <v>217</v>
      </c>
      <c r="AS56">
        <f>28/385*100</f>
        <v>7.2727272727272725</v>
      </c>
      <c r="AU56">
        <f>140/385*100</f>
        <v>36.363636363636367</v>
      </c>
      <c r="AW56">
        <f>217/385*100</f>
        <v>56.36363636363636</v>
      </c>
      <c r="AY56">
        <v>0</v>
      </c>
    </row>
    <row r="57" spans="1:51" x14ac:dyDescent="0.2">
      <c r="A57">
        <v>2022</v>
      </c>
      <c r="B57">
        <v>4</v>
      </c>
      <c r="D57" s="1">
        <v>15776</v>
      </c>
      <c r="F57" s="1">
        <v>9384</v>
      </c>
      <c r="H57" s="1">
        <v>63</v>
      </c>
      <c r="J57" s="1">
        <v>37</v>
      </c>
      <c r="L57">
        <f>20+28+7</f>
        <v>55</v>
      </c>
      <c r="N57">
        <f>31+10+1</f>
        <v>42</v>
      </c>
      <c r="P57">
        <f>32+66+8</f>
        <v>106</v>
      </c>
      <c r="S57">
        <v>20</v>
      </c>
      <c r="U57">
        <v>7</v>
      </c>
      <c r="W57">
        <v>28</v>
      </c>
      <c r="Y57">
        <v>10</v>
      </c>
      <c r="AA57">
        <v>1</v>
      </c>
      <c r="AC57">
        <v>31</v>
      </c>
      <c r="AE57">
        <v>32</v>
      </c>
      <c r="AG57">
        <v>8</v>
      </c>
      <c r="AI57">
        <v>66</v>
      </c>
      <c r="AK57">
        <f>106+55+42</f>
        <v>203</v>
      </c>
      <c r="AM57">
        <f>8+1+7</f>
        <v>16</v>
      </c>
      <c r="AO57">
        <f>32+10+20</f>
        <v>62</v>
      </c>
      <c r="AQ57">
        <f>66+31+28</f>
        <v>125</v>
      </c>
      <c r="AS57">
        <f>16/203*100</f>
        <v>7.8817733990147785</v>
      </c>
      <c r="AU57">
        <f>62/203*100</f>
        <v>30.541871921182267</v>
      </c>
      <c r="AW57">
        <f>125/203*100</f>
        <v>61.576354679802961</v>
      </c>
      <c r="AY57">
        <v>0</v>
      </c>
    </row>
    <row r="58" spans="1:51" x14ac:dyDescent="0.2">
      <c r="A58">
        <v>2023</v>
      </c>
      <c r="B58">
        <v>1</v>
      </c>
      <c r="D58" s="1">
        <v>13346</v>
      </c>
      <c r="F58" s="1">
        <v>7694</v>
      </c>
      <c r="H58" s="1">
        <v>63</v>
      </c>
      <c r="J58" s="1">
        <v>36</v>
      </c>
      <c r="L58">
        <f>19+5+35</f>
        <v>59</v>
      </c>
      <c r="N58">
        <f>27+32+0</f>
        <v>59</v>
      </c>
      <c r="P58">
        <f>29+12+85</f>
        <v>126</v>
      </c>
      <c r="S58">
        <v>19</v>
      </c>
      <c r="U58">
        <v>5</v>
      </c>
      <c r="W58">
        <v>35</v>
      </c>
      <c r="Y58">
        <v>27</v>
      </c>
      <c r="AA58">
        <v>0</v>
      </c>
      <c r="AC58">
        <v>32</v>
      </c>
      <c r="AE58">
        <v>29</v>
      </c>
      <c r="AG58">
        <v>12</v>
      </c>
      <c r="AI58">
        <v>85</v>
      </c>
      <c r="AK58">
        <f>59+59+126</f>
        <v>244</v>
      </c>
      <c r="AM58">
        <f>12+0+5</f>
        <v>17</v>
      </c>
      <c r="AO58">
        <f>29+27+19</f>
        <v>75</v>
      </c>
      <c r="AQ58">
        <f>85+32+35</f>
        <v>152</v>
      </c>
      <c r="AS58">
        <f>17/244*100</f>
        <v>6.9672131147540979</v>
      </c>
      <c r="AU58">
        <f>75/244*100</f>
        <v>30.737704918032787</v>
      </c>
      <c r="AW58">
        <f>152/244*100</f>
        <v>62.295081967213115</v>
      </c>
      <c r="AY58">
        <v>0</v>
      </c>
    </row>
    <row r="59" spans="1:51" x14ac:dyDescent="0.2">
      <c r="A59">
        <v>2023</v>
      </c>
      <c r="B59">
        <v>2</v>
      </c>
      <c r="D59" s="1">
        <v>12092</v>
      </c>
      <c r="F59" s="1">
        <v>7430</v>
      </c>
      <c r="H59" s="1">
        <v>62</v>
      </c>
      <c r="J59" s="1">
        <v>38</v>
      </c>
      <c r="L59">
        <f>32+64+8</f>
        <v>104</v>
      </c>
      <c r="N59">
        <f>5+1+65</f>
        <v>71</v>
      </c>
      <c r="P59">
        <f>48+56+10</f>
        <v>114</v>
      </c>
      <c r="S59">
        <v>32</v>
      </c>
      <c r="U59">
        <v>8</v>
      </c>
      <c r="W59">
        <v>64</v>
      </c>
      <c r="Y59">
        <v>5</v>
      </c>
      <c r="AA59">
        <v>1</v>
      </c>
      <c r="AC59">
        <v>64</v>
      </c>
      <c r="AE59">
        <v>48</v>
      </c>
      <c r="AG59">
        <v>10</v>
      </c>
      <c r="AI59">
        <v>56</v>
      </c>
      <c r="AK59">
        <f>104+71+114</f>
        <v>289</v>
      </c>
      <c r="AM59">
        <f>10+1+8</f>
        <v>19</v>
      </c>
      <c r="AO59">
        <f>48+5+32</f>
        <v>85</v>
      </c>
      <c r="AQ59">
        <f>56+64+64</f>
        <v>184</v>
      </c>
      <c r="AS59">
        <f>19/289*100</f>
        <v>6.5743944636678195</v>
      </c>
      <c r="AU59">
        <f>85/289*100</f>
        <v>29.411764705882355</v>
      </c>
      <c r="AW59">
        <f>184/289*100</f>
        <v>63.667820069204154</v>
      </c>
      <c r="AY59">
        <v>0</v>
      </c>
    </row>
    <row r="60" spans="1:51" x14ac:dyDescent="0.2">
      <c r="A60">
        <v>2023</v>
      </c>
      <c r="B60">
        <v>3</v>
      </c>
      <c r="D60" s="1">
        <v>10463</v>
      </c>
      <c r="F60" s="1">
        <v>6417</v>
      </c>
      <c r="H60" s="1">
        <v>62</v>
      </c>
      <c r="J60" s="1">
        <v>38</v>
      </c>
      <c r="L60">
        <f>35+9+59</f>
        <v>103</v>
      </c>
      <c r="N60">
        <f>2+0+69</f>
        <v>71</v>
      </c>
      <c r="P60">
        <f>51+9+60</f>
        <v>120</v>
      </c>
      <c r="S60">
        <v>35</v>
      </c>
      <c r="U60">
        <v>9</v>
      </c>
      <c r="W60">
        <v>59</v>
      </c>
      <c r="Y60">
        <v>2</v>
      </c>
      <c r="AA60">
        <v>0</v>
      </c>
      <c r="AC60">
        <v>69</v>
      </c>
      <c r="AE60">
        <v>51</v>
      </c>
      <c r="AG60">
        <v>9</v>
      </c>
      <c r="AI60">
        <v>60</v>
      </c>
      <c r="AK60">
        <f>103+71+120</f>
        <v>294</v>
      </c>
      <c r="AM60">
        <f>9+0+9</f>
        <v>18</v>
      </c>
      <c r="AO60">
        <f>51+2+35</f>
        <v>88</v>
      </c>
      <c r="AQ60">
        <f>60+69+59</f>
        <v>188</v>
      </c>
      <c r="AS60">
        <f>18/294*100</f>
        <v>6.1224489795918364</v>
      </c>
      <c r="AU60">
        <f>88/294*100</f>
        <v>29.931972789115648</v>
      </c>
      <c r="AW60">
        <f>188/294*100</f>
        <v>63.945578231292522</v>
      </c>
      <c r="AY60">
        <v>0</v>
      </c>
    </row>
    <row r="61" spans="1:51" x14ac:dyDescent="0.2">
      <c r="A61">
        <v>2023</v>
      </c>
      <c r="B61">
        <v>4</v>
      </c>
      <c r="D61" s="1">
        <v>10307</v>
      </c>
      <c r="F61" s="1">
        <v>6184</v>
      </c>
      <c r="H61" s="1">
        <v>62</v>
      </c>
      <c r="J61" s="1">
        <v>37</v>
      </c>
      <c r="L61">
        <f>36+43+7</f>
        <v>86</v>
      </c>
      <c r="N61">
        <f>72+4+0</f>
        <v>76</v>
      </c>
      <c r="P61">
        <f>48+67+10</f>
        <v>125</v>
      </c>
      <c r="S61">
        <v>36</v>
      </c>
      <c r="U61">
        <v>7</v>
      </c>
      <c r="W61">
        <v>43</v>
      </c>
      <c r="Y61">
        <v>4</v>
      </c>
      <c r="AA61">
        <v>0</v>
      </c>
      <c r="AC61">
        <v>72</v>
      </c>
      <c r="AE61">
        <v>48</v>
      </c>
      <c r="AG61">
        <v>10</v>
      </c>
      <c r="AI61">
        <v>67</v>
      </c>
      <c r="AK61">
        <f>86+76+125</f>
        <v>287</v>
      </c>
      <c r="AM61">
        <f>10+0+7</f>
        <v>17</v>
      </c>
      <c r="AO61">
        <f>48+4+36</f>
        <v>88</v>
      </c>
      <c r="AQ61">
        <f>67+72+43</f>
        <v>182</v>
      </c>
      <c r="AS61">
        <f>17/287*100</f>
        <v>5.9233449477351918</v>
      </c>
      <c r="AU61">
        <f>88/287*100</f>
        <v>30.662020905923342</v>
      </c>
      <c r="AW61">
        <f>182/287*100</f>
        <v>63.414634146341463</v>
      </c>
      <c r="AY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Carleton, Paige</dc:creator>
  <cp:lastModifiedBy>Carleton, Paige</cp:lastModifiedBy>
  <dcterms:created xsi:type="dcterms:W3CDTF">2025-11-26T18:03:42Z</dcterms:created>
  <dcterms:modified xsi:type="dcterms:W3CDTF">2026-01-01T13:52:50Z</dcterms:modified>
</cp:coreProperties>
</file>